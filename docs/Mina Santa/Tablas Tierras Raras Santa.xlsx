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iones\Proyectos 2026\Mario Varas Peru\Mina Tierras Raras\"/>
    </mc:Choice>
  </mc:AlternateContent>
  <xr:revisionPtr revIDLastSave="0" documentId="13_ncr:1_{6D72D9B7-3080-47C4-BDD2-06297B312D2D}" xr6:coauthVersionLast="47" xr6:coauthVersionMax="47" xr10:uidLastSave="{00000000-0000-0000-0000-000000000000}"/>
  <bookViews>
    <workbookView xWindow="-120" yWindow="-120" windowWidth="29040" windowHeight="15720" activeTab="1" xr2:uid="{B8DDDC21-E7C7-4569-A49F-F32AD3125C9D}"/>
  </bookViews>
  <sheets>
    <sheet name="Tabla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8" i="2" l="1"/>
  <c r="Q18" i="2" s="1"/>
  <c r="N9" i="2"/>
  <c r="O16" i="2"/>
  <c r="Q16" i="2" s="1"/>
  <c r="O4" i="2" s="1"/>
  <c r="O7" i="2" s="1"/>
  <c r="O6" i="2"/>
  <c r="O5" i="2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7" i="1"/>
  <c r="G6" i="1"/>
  <c r="G31" i="1" l="1"/>
</calcChain>
</file>

<file path=xl/sharedStrings.xml><?xml version="1.0" encoding="utf-8"?>
<sst xmlns="http://schemas.openxmlformats.org/spreadsheetml/2006/main" count="53" uniqueCount="52">
  <si>
    <t>Element</t>
  </si>
  <si>
    <t>PPM</t>
  </si>
  <si>
    <t>Quantity kg</t>
  </si>
  <si>
    <t>Tons</t>
  </si>
  <si>
    <t>Unit Value</t>
  </si>
  <si>
    <t>Boron</t>
  </si>
  <si>
    <t>Gold</t>
  </si>
  <si>
    <t>Rubidium</t>
  </si>
  <si>
    <t>Cesium</t>
  </si>
  <si>
    <t>Thorium</t>
  </si>
  <si>
    <t>Scandium</t>
  </si>
  <si>
    <t>Lanthanum</t>
  </si>
  <si>
    <t>Hafnium</t>
  </si>
  <si>
    <t>Neodymium</t>
  </si>
  <si>
    <t>Cerium</t>
  </si>
  <si>
    <t>Samarium</t>
  </si>
  <si>
    <t>Ytterbium</t>
  </si>
  <si>
    <t>Yttrium</t>
  </si>
  <si>
    <t>Gallium</t>
  </si>
  <si>
    <t>Niobium</t>
  </si>
  <si>
    <t>Zirconium</t>
  </si>
  <si>
    <t>Praseodymium</t>
  </si>
  <si>
    <t>Erbium</t>
  </si>
  <si>
    <t>Dysprosium</t>
  </si>
  <si>
    <t>Strontium</t>
  </si>
  <si>
    <t>Kalium</t>
  </si>
  <si>
    <t>Titanium</t>
  </si>
  <si>
    <t>Beryllium</t>
  </si>
  <si>
    <t>Aluminum</t>
  </si>
  <si>
    <t>Total</t>
  </si>
  <si>
    <t>Total Value por KG US$</t>
  </si>
  <si>
    <t>Item</t>
  </si>
  <si>
    <t>Price</t>
  </si>
  <si>
    <t>Value (US$)</t>
  </si>
  <si>
    <t>Law</t>
  </si>
  <si>
    <t>Mineral</t>
  </si>
  <si>
    <t>Au</t>
  </si>
  <si>
    <t>Fe</t>
  </si>
  <si>
    <t>Monacita</t>
  </si>
  <si>
    <t>100 US$/ton</t>
  </si>
  <si>
    <t>590 US$/ton</t>
  </si>
  <si>
    <t>0.004823 Oz/ton</t>
  </si>
  <si>
    <t>Por Onza</t>
  </si>
  <si>
    <t>5,012 US$/Oz</t>
  </si>
  <si>
    <t>US$   70´´ 000´000,000</t>
  </si>
  <si>
    <t>US$  165´´000´000,000</t>
  </si>
  <si>
    <t>US$           483´472,668</t>
  </si>
  <si>
    <t>Potential</t>
  </si>
  <si>
    <t>20´000,000 Onzas</t>
  </si>
  <si>
    <t>280´000,000 Tons</t>
  </si>
  <si>
    <t>0.2% and 0.5%</t>
  </si>
  <si>
    <t xml:space="preserve">700´000,000 Tons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</si>
</sst>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US$-3009]#,##0.00"/>
    <numFmt numFmtId="174" formatCode="_-[$US$-3009]* #,##0.00_-;\-[$US$-3009]* #,##0.00_-;_-[$US$-3009]* &quot;-&quot;??_-;_-@_-"/>
    <numFmt numFmtId="180" formatCode="_-[$US$-3009]* #,##0_-;\-[$US$-3009]* #,##0_-;_-[$US$-3009]* &quot;-&quot;??_-;_-@_-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64" fontId="0" fillId="0" borderId="0" xfId="0" applyNumberFormat="1"/>
    <xf numFmtId="0" fontId="2" fillId="0" borderId="5" xfId="0" applyFont="1" applyBorder="1" applyAlignment="1">
      <alignment horizontal="right" vertical="center" wrapText="1"/>
    </xf>
    <xf numFmtId="4" fontId="0" fillId="0" borderId="5" xfId="0" applyNumberFormat="1" applyBorder="1"/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4" fontId="2" fillId="0" borderId="4" xfId="0" applyNumberFormat="1" applyFont="1" applyBorder="1" applyAlignment="1">
      <alignment horizontal="right" vertical="center" wrapText="1"/>
    </xf>
    <xf numFmtId="9" fontId="2" fillId="0" borderId="4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174" fontId="0" fillId="0" borderId="0" xfId="0" applyNumberFormat="1"/>
    <xf numFmtId="4" fontId="0" fillId="0" borderId="0" xfId="0" applyNumberFormat="1"/>
    <xf numFmtId="0" fontId="0" fillId="0" borderId="5" xfId="0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10" fontId="0" fillId="0" borderId="5" xfId="0" applyNumberForma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/>
    <xf numFmtId="9" fontId="0" fillId="4" borderId="5" xfId="0" applyNumberFormat="1" applyFill="1" applyBorder="1" applyAlignment="1">
      <alignment horizontal="center"/>
    </xf>
    <xf numFmtId="0" fontId="0" fillId="4" borderId="5" xfId="0" applyFill="1" applyBorder="1" applyAlignment="1">
      <alignment horizontal="right"/>
    </xf>
    <xf numFmtId="0" fontId="0" fillId="5" borderId="0" xfId="0" applyFill="1"/>
    <xf numFmtId="180" fontId="0" fillId="0" borderId="0" xfId="0" applyNumberFormat="1"/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3" fontId="0" fillId="0" borderId="0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7</xdr:row>
      <xdr:rowOff>28575</xdr:rowOff>
    </xdr:from>
    <xdr:to>
      <xdr:col>7</xdr:col>
      <xdr:colOff>973455</xdr:colOff>
      <xdr:row>11</xdr:row>
      <xdr:rowOff>109855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CA8C57-4CE0-5A80-E83D-1DD579803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1362075"/>
          <a:ext cx="5612130" cy="843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2DBD-0C28-472F-A8D9-8FEE703183AD}">
  <dimension ref="B1:G31"/>
  <sheetViews>
    <sheetView topLeftCell="B1" zoomScale="110" zoomScaleNormal="110" workbookViewId="0">
      <selection activeCell="I11" sqref="I11"/>
    </sheetView>
  </sheetViews>
  <sheetFormatPr baseColWidth="10" defaultRowHeight="15" x14ac:dyDescent="0.25"/>
  <cols>
    <col min="2" max="2" width="19.28515625" customWidth="1"/>
    <col min="3" max="4" width="9.42578125" customWidth="1"/>
    <col min="5" max="5" width="20" bestFit="1" customWidth="1"/>
    <col min="6" max="6" width="18.28515625" customWidth="1"/>
    <col min="7" max="7" width="32.7109375" customWidth="1"/>
  </cols>
  <sheetData>
    <row r="1" spans="2:7" x14ac:dyDescent="0.25">
      <c r="B1" s="3"/>
      <c r="E1" s="3"/>
    </row>
    <row r="2" spans="2:7" x14ac:dyDescent="0.25">
      <c r="B2" s="3"/>
      <c r="E2" s="3"/>
    </row>
    <row r="3" spans="2:7" x14ac:dyDescent="0.25">
      <c r="B3" s="3"/>
      <c r="E3" s="3"/>
    </row>
    <row r="4" spans="2:7" ht="15.75" thickBot="1" x14ac:dyDescent="0.3"/>
    <row r="5" spans="2:7" ht="15.75" thickBot="1" x14ac:dyDescent="0.3">
      <c r="B5" s="1" t="s">
        <v>0</v>
      </c>
      <c r="C5" s="2" t="s">
        <v>1</v>
      </c>
      <c r="D5" s="11" t="s">
        <v>3</v>
      </c>
      <c r="E5" s="11" t="s">
        <v>2</v>
      </c>
      <c r="F5" s="11" t="s">
        <v>4</v>
      </c>
      <c r="G5" s="2" t="s">
        <v>30</v>
      </c>
    </row>
    <row r="6" spans="2:7" ht="15.75" thickBot="1" x14ac:dyDescent="0.3">
      <c r="B6" s="6" t="s">
        <v>5</v>
      </c>
      <c r="C6" s="7"/>
      <c r="D6" s="7"/>
      <c r="E6" s="8"/>
      <c r="F6" s="7"/>
      <c r="G6" s="9">
        <f>F6*E6</f>
        <v>0</v>
      </c>
    </row>
    <row r="7" spans="2:7" ht="15.75" thickBot="1" x14ac:dyDescent="0.3">
      <c r="B7" s="6" t="s">
        <v>6</v>
      </c>
      <c r="C7" s="7"/>
      <c r="D7" s="7"/>
      <c r="E7" s="8"/>
      <c r="F7" s="9"/>
      <c r="G7" s="9">
        <f>F7*E7</f>
        <v>0</v>
      </c>
    </row>
    <row r="8" spans="2:7" ht="15.75" thickBot="1" x14ac:dyDescent="0.3">
      <c r="B8" s="6" t="s">
        <v>7</v>
      </c>
      <c r="C8" s="7"/>
      <c r="D8" s="7"/>
      <c r="E8" s="8"/>
      <c r="F8" s="9"/>
      <c r="G8" s="9">
        <f t="shared" ref="G8:G9" si="0">F8*E8</f>
        <v>0</v>
      </c>
    </row>
    <row r="9" spans="2:7" ht="15.75" thickBot="1" x14ac:dyDescent="0.3">
      <c r="B9" s="6" t="s">
        <v>8</v>
      </c>
      <c r="C9" s="7"/>
      <c r="D9" s="7"/>
      <c r="E9" s="8"/>
      <c r="F9" s="9"/>
      <c r="G9" s="9">
        <f t="shared" si="0"/>
        <v>0</v>
      </c>
    </row>
    <row r="10" spans="2:7" ht="15.75" thickBot="1" x14ac:dyDescent="0.3">
      <c r="B10" s="6" t="s">
        <v>9</v>
      </c>
      <c r="C10" s="7"/>
      <c r="D10" s="7"/>
      <c r="E10" s="7"/>
      <c r="F10" s="7"/>
      <c r="G10" s="9">
        <f t="shared" ref="G10:G29" si="1">F10*E10</f>
        <v>0</v>
      </c>
    </row>
    <row r="11" spans="2:7" ht="15.75" thickBot="1" x14ac:dyDescent="0.3">
      <c r="B11" s="6" t="s">
        <v>10</v>
      </c>
      <c r="C11" s="7"/>
      <c r="D11" s="7"/>
      <c r="E11" s="7"/>
      <c r="F11" s="7"/>
      <c r="G11" s="9">
        <f t="shared" si="1"/>
        <v>0</v>
      </c>
    </row>
    <row r="12" spans="2:7" ht="15.75" thickBot="1" x14ac:dyDescent="0.3">
      <c r="B12" s="6" t="s">
        <v>11</v>
      </c>
      <c r="C12" s="7"/>
      <c r="D12" s="7"/>
      <c r="E12" s="7"/>
      <c r="F12" s="7"/>
      <c r="G12" s="9">
        <f t="shared" si="1"/>
        <v>0</v>
      </c>
    </row>
    <row r="13" spans="2:7" ht="15.75" thickBot="1" x14ac:dyDescent="0.3">
      <c r="B13" s="6" t="s">
        <v>12</v>
      </c>
      <c r="C13" s="7"/>
      <c r="D13" s="7"/>
      <c r="E13" s="7"/>
      <c r="F13" s="7"/>
      <c r="G13" s="9">
        <f t="shared" si="1"/>
        <v>0</v>
      </c>
    </row>
    <row r="14" spans="2:7" ht="15.75" thickBot="1" x14ac:dyDescent="0.3">
      <c r="B14" s="6" t="s">
        <v>13</v>
      </c>
      <c r="C14" s="7"/>
      <c r="D14" s="7"/>
      <c r="E14" s="7"/>
      <c r="F14" s="7"/>
      <c r="G14" s="9">
        <f t="shared" si="1"/>
        <v>0</v>
      </c>
    </row>
    <row r="15" spans="2:7" ht="15.75" thickBot="1" x14ac:dyDescent="0.3">
      <c r="B15" s="6" t="s">
        <v>14</v>
      </c>
      <c r="C15" s="7"/>
      <c r="D15" s="7"/>
      <c r="E15" s="7"/>
      <c r="F15" s="7"/>
      <c r="G15" s="9">
        <f t="shared" si="1"/>
        <v>0</v>
      </c>
    </row>
    <row r="16" spans="2:7" ht="15.75" thickBot="1" x14ac:dyDescent="0.3">
      <c r="B16" s="6" t="s">
        <v>15</v>
      </c>
      <c r="C16" s="7"/>
      <c r="D16" s="7"/>
      <c r="E16" s="7"/>
      <c r="F16" s="7"/>
      <c r="G16" s="9">
        <f t="shared" si="1"/>
        <v>0</v>
      </c>
    </row>
    <row r="17" spans="2:7" ht="15.75" thickBot="1" x14ac:dyDescent="0.3">
      <c r="B17" s="6" t="s">
        <v>16</v>
      </c>
      <c r="C17" s="7"/>
      <c r="D17" s="7"/>
      <c r="E17" s="7"/>
      <c r="F17" s="7"/>
      <c r="G17" s="9">
        <f t="shared" si="1"/>
        <v>0</v>
      </c>
    </row>
    <row r="18" spans="2:7" ht="15.75" thickBot="1" x14ac:dyDescent="0.3">
      <c r="B18" s="6" t="s">
        <v>17</v>
      </c>
      <c r="C18" s="7"/>
      <c r="D18" s="7"/>
      <c r="E18" s="7"/>
      <c r="F18" s="7"/>
      <c r="G18" s="9">
        <f t="shared" si="1"/>
        <v>0</v>
      </c>
    </row>
    <row r="19" spans="2:7" ht="15.75" thickBot="1" x14ac:dyDescent="0.3">
      <c r="B19" s="6" t="s">
        <v>18</v>
      </c>
      <c r="C19" s="7"/>
      <c r="D19" s="7"/>
      <c r="E19" s="7"/>
      <c r="F19" s="7"/>
      <c r="G19" s="9">
        <f t="shared" si="1"/>
        <v>0</v>
      </c>
    </row>
    <row r="20" spans="2:7" ht="15.75" thickBot="1" x14ac:dyDescent="0.3">
      <c r="B20" s="6" t="s">
        <v>19</v>
      </c>
      <c r="C20" s="7"/>
      <c r="D20" s="7"/>
      <c r="E20" s="7"/>
      <c r="F20" s="7"/>
      <c r="G20" s="9">
        <f t="shared" si="1"/>
        <v>0</v>
      </c>
    </row>
    <row r="21" spans="2:7" ht="15.75" thickBot="1" x14ac:dyDescent="0.3">
      <c r="B21" s="6" t="s">
        <v>20</v>
      </c>
      <c r="C21" s="7"/>
      <c r="D21" s="7"/>
      <c r="E21" s="7"/>
      <c r="F21" s="7"/>
      <c r="G21" s="9">
        <f t="shared" si="1"/>
        <v>0</v>
      </c>
    </row>
    <row r="22" spans="2:7" ht="15.75" thickBot="1" x14ac:dyDescent="0.3">
      <c r="B22" s="6" t="s">
        <v>21</v>
      </c>
      <c r="C22" s="7"/>
      <c r="D22" s="7"/>
      <c r="E22" s="7"/>
      <c r="F22" s="7"/>
      <c r="G22" s="9">
        <f t="shared" si="1"/>
        <v>0</v>
      </c>
    </row>
    <row r="23" spans="2:7" ht="15.75" thickBot="1" x14ac:dyDescent="0.3">
      <c r="B23" s="6" t="s">
        <v>22</v>
      </c>
      <c r="C23" s="7"/>
      <c r="D23" s="7"/>
      <c r="E23" s="7"/>
      <c r="F23" s="7"/>
      <c r="G23" s="9">
        <f t="shared" si="1"/>
        <v>0</v>
      </c>
    </row>
    <row r="24" spans="2:7" ht="15.75" thickBot="1" x14ac:dyDescent="0.3">
      <c r="B24" s="6" t="s">
        <v>23</v>
      </c>
      <c r="C24" s="7"/>
      <c r="D24" s="7"/>
      <c r="E24" s="7"/>
      <c r="F24" s="7"/>
      <c r="G24" s="9">
        <f t="shared" si="1"/>
        <v>0</v>
      </c>
    </row>
    <row r="25" spans="2:7" ht="15.75" thickBot="1" x14ac:dyDescent="0.3">
      <c r="B25" s="6" t="s">
        <v>24</v>
      </c>
      <c r="C25" s="7"/>
      <c r="D25" s="7"/>
      <c r="E25" s="7"/>
      <c r="F25" s="7"/>
      <c r="G25" s="9">
        <f t="shared" si="1"/>
        <v>0</v>
      </c>
    </row>
    <row r="26" spans="2:7" ht="15.75" thickBot="1" x14ac:dyDescent="0.3">
      <c r="B26" s="6" t="s">
        <v>25</v>
      </c>
      <c r="C26" s="7"/>
      <c r="D26" s="7"/>
      <c r="E26" s="7"/>
      <c r="F26" s="7"/>
      <c r="G26" s="9">
        <f t="shared" si="1"/>
        <v>0</v>
      </c>
    </row>
    <row r="27" spans="2:7" ht="15.75" thickBot="1" x14ac:dyDescent="0.3">
      <c r="B27" s="6" t="s">
        <v>26</v>
      </c>
      <c r="C27" s="7"/>
      <c r="D27" s="7"/>
      <c r="E27" s="7"/>
      <c r="F27" s="7"/>
      <c r="G27" s="9">
        <f t="shared" si="1"/>
        <v>0</v>
      </c>
    </row>
    <row r="28" spans="2:7" ht="15.75" thickBot="1" x14ac:dyDescent="0.3">
      <c r="B28" s="6" t="s">
        <v>27</v>
      </c>
      <c r="C28" s="7"/>
      <c r="D28" s="7"/>
      <c r="E28" s="7"/>
      <c r="F28" s="7"/>
      <c r="G28" s="9">
        <f t="shared" si="1"/>
        <v>0</v>
      </c>
    </row>
    <row r="29" spans="2:7" ht="15.75" thickBot="1" x14ac:dyDescent="0.3">
      <c r="B29" s="6" t="s">
        <v>28</v>
      </c>
      <c r="C29" s="10"/>
      <c r="D29" s="10"/>
      <c r="E29" s="7"/>
      <c r="F29" s="7"/>
      <c r="G29" s="9">
        <f t="shared" si="1"/>
        <v>0</v>
      </c>
    </row>
    <row r="31" spans="2:7" x14ac:dyDescent="0.25">
      <c r="F31" s="4" t="s">
        <v>29</v>
      </c>
      <c r="G31" s="5">
        <f>SUM(G6:G30)</f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F6BE-EDCC-4479-889C-80A4D41B2ABE}">
  <dimension ref="B2:S18"/>
  <sheetViews>
    <sheetView tabSelected="1" workbookViewId="0">
      <selection activeCell="J9" sqref="J9"/>
    </sheetView>
  </sheetViews>
  <sheetFormatPr baseColWidth="10" defaultRowHeight="15" x14ac:dyDescent="0.25"/>
  <cols>
    <col min="3" max="3" width="8.28515625" customWidth="1"/>
    <col min="5" max="5" width="15.140625" bestFit="1" customWidth="1"/>
    <col min="6" max="6" width="22.5703125" customWidth="1"/>
    <col min="7" max="7" width="12.28515625" customWidth="1"/>
    <col min="8" max="8" width="16.28515625" customWidth="1"/>
    <col min="9" max="9" width="20.5703125" customWidth="1"/>
    <col min="13" max="13" width="17.140625" bestFit="1" customWidth="1"/>
    <col min="15" max="15" width="22.28515625" bestFit="1" customWidth="1"/>
    <col min="17" max="17" width="22.28515625" bestFit="1" customWidth="1"/>
  </cols>
  <sheetData>
    <row r="2" spans="2:19" x14ac:dyDescent="0.25">
      <c r="B2" s="26"/>
      <c r="C2" s="26"/>
      <c r="D2" s="26"/>
      <c r="E2" s="26"/>
      <c r="F2" s="26"/>
      <c r="G2" s="26"/>
      <c r="H2" s="26"/>
      <c r="I2" s="26"/>
      <c r="J2" s="26"/>
    </row>
    <row r="3" spans="2:19" x14ac:dyDescent="0.25">
      <c r="B3" s="26"/>
      <c r="C3" s="21" t="s">
        <v>31</v>
      </c>
      <c r="D3" s="21" t="s">
        <v>35</v>
      </c>
      <c r="E3" s="21" t="s">
        <v>34</v>
      </c>
      <c r="F3" s="21" t="s">
        <v>47</v>
      </c>
      <c r="G3" s="31"/>
      <c r="H3" s="28" t="s">
        <v>32</v>
      </c>
      <c r="I3" s="21" t="s">
        <v>33</v>
      </c>
      <c r="J3" s="26"/>
    </row>
    <row r="4" spans="2:19" x14ac:dyDescent="0.25">
      <c r="B4" s="26"/>
      <c r="C4" s="16">
        <v>1</v>
      </c>
      <c r="D4" s="17" t="s">
        <v>38</v>
      </c>
      <c r="E4" s="20" t="s">
        <v>50</v>
      </c>
      <c r="F4" s="19" t="s">
        <v>49</v>
      </c>
      <c r="G4" s="32"/>
      <c r="H4" s="29" t="s">
        <v>40</v>
      </c>
      <c r="I4" s="19" t="s">
        <v>45</v>
      </c>
      <c r="J4" s="26"/>
      <c r="M4" s="12">
        <v>20000000</v>
      </c>
      <c r="N4">
        <v>5012</v>
      </c>
      <c r="O4" s="14">
        <f>Q16</f>
        <v>483457520</v>
      </c>
      <c r="R4">
        <v>590</v>
      </c>
      <c r="S4">
        <v>0.04</v>
      </c>
    </row>
    <row r="5" spans="2:19" x14ac:dyDescent="0.25">
      <c r="B5" s="26"/>
      <c r="C5" s="22">
        <v>2</v>
      </c>
      <c r="D5" s="23" t="s">
        <v>37</v>
      </c>
      <c r="E5" s="24">
        <v>0.05</v>
      </c>
      <c r="F5" s="25" t="s">
        <v>51</v>
      </c>
      <c r="G5" s="32"/>
      <c r="H5" s="30" t="s">
        <v>39</v>
      </c>
      <c r="I5" s="25" t="s">
        <v>44</v>
      </c>
      <c r="J5" s="26"/>
      <c r="M5" s="12">
        <v>700000000</v>
      </c>
      <c r="N5">
        <v>100</v>
      </c>
      <c r="O5" s="27">
        <f>M5*N5</f>
        <v>70000000000</v>
      </c>
    </row>
    <row r="6" spans="2:19" x14ac:dyDescent="0.25">
      <c r="B6" s="26"/>
      <c r="C6" s="16">
        <v>3</v>
      </c>
      <c r="D6" s="17" t="s">
        <v>36</v>
      </c>
      <c r="E6" s="16" t="s">
        <v>41</v>
      </c>
      <c r="F6" s="18" t="s">
        <v>48</v>
      </c>
      <c r="G6" s="33"/>
      <c r="H6" s="29" t="s">
        <v>43</v>
      </c>
      <c r="I6" s="19" t="s">
        <v>46</v>
      </c>
      <c r="J6" s="26"/>
      <c r="M6" s="12">
        <v>280000000</v>
      </c>
      <c r="N6">
        <v>590</v>
      </c>
      <c r="O6" s="14">
        <f>M6*N6</f>
        <v>165200000000</v>
      </c>
    </row>
    <row r="7" spans="2:19" x14ac:dyDescent="0.25">
      <c r="B7" s="26"/>
      <c r="C7" s="26"/>
      <c r="D7" s="26"/>
      <c r="E7" s="26"/>
      <c r="F7" s="26"/>
      <c r="G7" s="26"/>
      <c r="H7" s="26"/>
      <c r="I7" s="26"/>
      <c r="J7" s="26"/>
      <c r="O7" s="14">
        <f>SUM(O4:O6)</f>
        <v>235683457520</v>
      </c>
    </row>
    <row r="8" spans="2:19" x14ac:dyDescent="0.25">
      <c r="B8" s="26"/>
      <c r="J8" s="26"/>
      <c r="N8">
        <v>1000</v>
      </c>
    </row>
    <row r="9" spans="2:19" x14ac:dyDescent="0.25">
      <c r="M9" s="12">
        <v>590</v>
      </c>
      <c r="N9" s="12">
        <f>M9*N8</f>
        <v>590000</v>
      </c>
    </row>
    <row r="12" spans="2:19" x14ac:dyDescent="0.25">
      <c r="O12" s="12">
        <v>20000</v>
      </c>
    </row>
    <row r="15" spans="2:19" x14ac:dyDescent="0.25">
      <c r="O15" t="s">
        <v>42</v>
      </c>
    </row>
    <row r="16" spans="2:19" x14ac:dyDescent="0.25">
      <c r="M16" s="12">
        <v>20000000</v>
      </c>
      <c r="N16">
        <v>4.823E-3</v>
      </c>
      <c r="O16" s="15">
        <f>M16*N16</f>
        <v>96460</v>
      </c>
      <c r="P16">
        <v>5012</v>
      </c>
      <c r="Q16" s="14">
        <f>O16*P16</f>
        <v>483457520</v>
      </c>
    </row>
    <row r="17" spans="12:17" x14ac:dyDescent="0.25">
      <c r="M17" s="12"/>
      <c r="O17" s="15"/>
      <c r="Q17" s="14"/>
    </row>
    <row r="18" spans="12:17" x14ac:dyDescent="0.25">
      <c r="L18" t="s">
        <v>38</v>
      </c>
      <c r="M18" s="12">
        <v>280000000</v>
      </c>
      <c r="N18" s="13">
        <v>4.0000000000000001E-3</v>
      </c>
      <c r="O18" s="12">
        <f>M18*N18</f>
        <v>1120000</v>
      </c>
      <c r="P18">
        <v>10000</v>
      </c>
      <c r="Q18" s="27">
        <f>O18*P18</f>
        <v>11200000000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2025-06-08T04:04:51Z</dcterms:created>
  <dcterms:modified xsi:type="dcterms:W3CDTF">2026-03-03T05:35:52Z</dcterms:modified>
</cp:coreProperties>
</file>