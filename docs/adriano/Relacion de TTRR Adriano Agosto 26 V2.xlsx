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defaultThemeVersion="124226"/>
  <mc:AlternateContent xmlns:mc="http://schemas.openxmlformats.org/markup-compatibility/2006">
    <mc:Choice Requires="x15">
      <x15ac:absPath xmlns:x15ac="http://schemas.microsoft.com/office/spreadsheetml/2010/11/ac" url="D:\Proyecto Inversiones\Proyectos 2026\Minas Renato\Venta Min Tierras Raras Peru Renato\"/>
    </mc:Choice>
  </mc:AlternateContent>
  <xr:revisionPtr revIDLastSave="0" documentId="13_ncr:1_{C5E8D2AF-6B89-41BA-A34C-A20259A9C087}" xr6:coauthVersionLast="47" xr6:coauthVersionMax="47" xr10:uidLastSave="{00000000-0000-0000-0000-000000000000}"/>
  <bookViews>
    <workbookView xWindow="-120" yWindow="-120" windowWidth="29040" windowHeight="15720" xr2:uid="{00000000-000D-0000-FFFF-FFFF00000000}"/>
  </bookViews>
  <sheets>
    <sheet name="Table 2"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8" i="4" l="1"/>
</calcChain>
</file>

<file path=xl/sharedStrings.xml><?xml version="1.0" encoding="utf-8"?>
<sst xmlns="http://schemas.openxmlformats.org/spreadsheetml/2006/main" count="133" uniqueCount="129">
  <si>
    <r>
      <rPr>
        <b/>
        <sz val="7.5"/>
        <color rgb="FFFFFFFF"/>
        <rFont val="Arial"/>
        <family val="2"/>
      </rPr>
      <t>Item</t>
    </r>
  </si>
  <si>
    <r>
      <rPr>
        <b/>
        <sz val="7.5"/>
        <color rgb="FFFFFFFF"/>
        <rFont val="Arial"/>
        <family val="2"/>
      </rPr>
      <t>Element</t>
    </r>
  </si>
  <si>
    <r>
      <rPr>
        <b/>
        <sz val="7.5"/>
        <color rgb="FFFFFFFF"/>
        <rFont val="Arial"/>
        <family val="2"/>
      </rPr>
      <t>PPM</t>
    </r>
  </si>
  <si>
    <r>
      <rPr>
        <b/>
        <sz val="7.5"/>
        <color rgb="FFFFFFFF"/>
        <rFont val="Arial"/>
        <family val="2"/>
      </rPr>
      <t>Quantity kg</t>
    </r>
  </si>
  <si>
    <r>
      <rPr>
        <b/>
        <sz val="7.5"/>
        <color rgb="FFFFFFFF"/>
        <rFont val="Arial"/>
        <family val="2"/>
      </rPr>
      <t>Tons</t>
    </r>
  </si>
  <si>
    <r>
      <rPr>
        <b/>
        <sz val="7.5"/>
        <color rgb="FFFFFFFF"/>
        <rFont val="Arial"/>
        <family val="2"/>
      </rPr>
      <t>Unit Value</t>
    </r>
  </si>
  <si>
    <r>
      <rPr>
        <b/>
        <sz val="7.5"/>
        <color rgb="FFFFFFFF"/>
        <rFont val="Arial"/>
        <family val="2"/>
      </rPr>
      <t>Total Value USD</t>
    </r>
  </si>
  <si>
    <r>
      <rPr>
        <b/>
        <sz val="7.5"/>
        <color rgb="FFFFFFFF"/>
        <rFont val="Arial"/>
        <family val="2"/>
      </rPr>
      <t>Utilización</t>
    </r>
  </si>
  <si>
    <t>Boron</t>
  </si>
  <si>
    <t>62.50 x kg</t>
  </si>
  <si>
    <t>Gold</t>
  </si>
  <si>
    <t>156,274 kg</t>
  </si>
  <si>
    <t>Rubidium</t>
  </si>
  <si>
    <t>70,000 x kg</t>
  </si>
  <si>
    <t>Cesium</t>
  </si>
  <si>
    <t>50,000 x Kg</t>
  </si>
  <si>
    <t>Thorium</t>
  </si>
  <si>
    <t>30 x kg</t>
  </si>
  <si>
    <t>Scandium</t>
  </si>
  <si>
    <t>90,000 x kg</t>
  </si>
  <si>
    <t>Lanthanum</t>
  </si>
  <si>
    <t>450 x gr</t>
  </si>
  <si>
    <t>Hafnium</t>
  </si>
  <si>
    <t>4,321 x kg</t>
  </si>
  <si>
    <t>Neodymium</t>
  </si>
  <si>
    <t>450 x kg</t>
  </si>
  <si>
    <t>Cerium</t>
  </si>
  <si>
    <t>550 x kg</t>
  </si>
  <si>
    <t>Samarium</t>
  </si>
  <si>
    <t>50 x kg</t>
  </si>
  <si>
    <t>Ytterbium</t>
  </si>
  <si>
    <t>2,700 x kg</t>
  </si>
  <si>
    <t>Yttrium</t>
  </si>
  <si>
    <t>1,200 x kg</t>
  </si>
  <si>
    <t>Gallium</t>
  </si>
  <si>
    <t>931. x kg</t>
  </si>
  <si>
    <t>Niobium</t>
  </si>
  <si>
    <t>78. x kg</t>
  </si>
  <si>
    <t>Zirconium</t>
  </si>
  <si>
    <t>35 x kg</t>
  </si>
  <si>
    <t>180 x kg</t>
  </si>
  <si>
    <t>Erbium</t>
  </si>
  <si>
    <t>1,880 x kg</t>
  </si>
  <si>
    <t>Dysprosium</t>
  </si>
  <si>
    <t>800 x kg</t>
  </si>
  <si>
    <t>Europium</t>
  </si>
  <si>
    <t>1,000 x kg</t>
  </si>
  <si>
    <t>Terbium</t>
  </si>
  <si>
    <t>1,904 x kg</t>
  </si>
  <si>
    <t>Gadolinium</t>
  </si>
  <si>
    <t>400 x kg</t>
  </si>
  <si>
    <t>Holmium</t>
  </si>
  <si>
    <t>980 x kg</t>
  </si>
  <si>
    <t>Luthetium</t>
  </si>
  <si>
    <t>10,000 x kg</t>
  </si>
  <si>
    <t>Thulium</t>
  </si>
  <si>
    <t>5,000 x kg</t>
  </si>
  <si>
    <t>Tantalum</t>
  </si>
  <si>
    <t>200 x kg</t>
  </si>
  <si>
    <t>Strontium</t>
  </si>
  <si>
    <t>10 x kg</t>
  </si>
  <si>
    <t>Indium</t>
  </si>
  <si>
    <t>704 x kg</t>
  </si>
  <si>
    <r>
      <rPr>
        <sz val="7.5"/>
        <rFont val="Arial"/>
        <family val="2"/>
      </rPr>
      <t>Kalium
(Potasio)</t>
    </r>
  </si>
  <si>
    <t>3,65%</t>
  </si>
  <si>
    <t>25,000 x Mt</t>
  </si>
  <si>
    <t>Titanium</t>
  </si>
  <si>
    <t>0,188%</t>
  </si>
  <si>
    <t>Selenium</t>
  </si>
  <si>
    <t>72 x kg</t>
  </si>
  <si>
    <t>Lithium</t>
  </si>
  <si>
    <t>20 x kg</t>
  </si>
  <si>
    <t>Vanadium</t>
  </si>
  <si>
    <t>105 x kg</t>
  </si>
  <si>
    <t>Cromium</t>
  </si>
  <si>
    <t>Uranium</t>
  </si>
  <si>
    <t>49 x kg</t>
  </si>
  <si>
    <t>Cobalt</t>
  </si>
  <si>
    <t>Beryllium</t>
  </si>
  <si>
    <t>2,200 x kg</t>
  </si>
  <si>
    <t>Germanium</t>
  </si>
  <si>
    <t>2,600 x kg</t>
  </si>
  <si>
    <t>Nickel</t>
  </si>
  <si>
    <t>Aluminum</t>
  </si>
  <si>
    <t>3 x kg</t>
  </si>
  <si>
    <t>Listado de elementos existentes Proyecto Minero de Metales Estratégicos y Tierras Raras</t>
  </si>
  <si>
    <t xml:space="preserve">FUENTE: PRECIOS =&gt; SMM Leading Metals Information Provider y España Investing (Mercados chino y europeo) </t>
  </si>
  <si>
    <t>SMM =SHANGHAI METALS MARKET</t>
  </si>
  <si>
    <t>Elemento esencial en la fabricación de imanes de neodimio-hierro-boro (NdFeB), vidrios de borosilicato de alta resistencia e industria nuclear. Su capacidad para absorber neutrones lo convierte en un insumo clave para blindajes contra radiación y barras de control en reactores. La creciente demanda global de imanes para motores de vehículos eléctricos e infraestructura eólica ha posicionado al boro como un insumo estratégico de alto valor en la cadena de suministros industriales.</t>
  </si>
  <si>
    <t>Gold (Au): Considerado el activo refugio por excelencia en los mercados financieros globales, el oro destaca también por su inigualable conductividad eléctrica y resistencia a la corrosión. Es indispensable en la microelectrónica de alta precisión, conectores de satélites y sistemas críticos de aviación militar. En un contexto geopolítico de alta volatilidad e inflación, su demanda estructural asegura precios en máximos históricos y una liquidez inmediata comercialmente.</t>
  </si>
  <si>
    <t>Rubidium (Rb): Valuado en el mercado hasta en $87,500/kg, es un elemento crítico de extrema escasez. Resulta indispensable para los relojes atómicos de ultraprecisión que calibran las redes de geolocalización satelital (GPS) y telecomunicaciones militares. Además, es clave en investigaciones de óptica cuántica, celdas fotoeléctricas avanzadas y sensores de alta frecuencia, representando un recurso de valor estratégico excepcional para defensas avanzadas.</t>
  </si>
  <si>
    <t>Cesium (Cs): Cotizado en el mercado internacional por encima de los $67,500/kg, el cesio es un metal alcalino altamente reactivo y de altísimo valor estratégico. Constituye el estándar para la definición del segundo en los relojes atómicos globales y la sincronización de redes 5G y satelitales. Se utiliza también en fluidos de perforación petrolera profunda y celdas fotoeléctricas de alta eficiencia, siendo vital para la industria de alta tecnología.</t>
  </si>
  <si>
    <t>Thorium (Th): Representa la piedra angular de la energía nuclear de nueva generación. Al ser un combustible atómico más limpio, abundante y seguro que el uranio, genera un mínimo de residuos radioactivos de vida corta. También se emplea en aleaciones estructurales de magnesio para aplicaciones aeroespaciales de alta fricción. Su presencia en el yacimiento otorga un valor prospectivo masivo dentro del marco de la transición energética global.</t>
  </si>
  <si>
    <t>Scandium (Sc): Valuado en aproximadamente $2,500/kg, es un elemento crítico para la aviación de vanguardia. Al alearse con aluminio (Al-Sc), produce estructuras ultraligeras de extrema resistencia mecánica y soldabilidad, vitales para aviones supersónicos, naves interespaciales y drones de defensa. Su escasez global hace que cualquier yacimiento con concentraciones recuperables sea de un interés comercial sumamente elevado para la industria aeroespacial.</t>
  </si>
  <si>
    <t>Lanthanum (La): Elemento indispensable dentro de las tierras raras livianas para la industria óptica militar, fotónica y automotriz. Permite la producción de cristales infrarrojos avanzados para lentes de visión nocturna de fuerzas armadas, cámaras satelitales y telescopios de investigación espacial. También es insumo clave en baterías de níquel-metal hidruro (NiMH) para vehículos híbridos y catalizadores de refinación de petróleo de alto rendimiento.</t>
  </si>
  <si>
    <t>Hafnio (Hf): Con una cotización de mercado de $38,500/kg, el hafnio es indispensable en la fabricación de microprocesadores para Inteligencia Artificial y semiconductores de última generación. Gracias a su alta constante dieléctrica, permite miniaturizar transistores al límite atómico. Además, su altísima capacidad de absorción de neutrones lo convierte en el material preferido para barras de control nuclear y superaleaciones aeronáuticas.</t>
  </si>
  <si>
    <t>Neodymium (Nd): Considerado el corazón de la transición energética mundial, el neodimio es la materia prima fundamental para los imanes permanentes de neodimio-hierro-boro (NdFeB) de ultra-alta potencia. Estos imanes son indispensables en los motores de vehículos eléctricos, generadores de turbinas eólicas y motores de cazas de combate. La demanda mundial de neodimio continúa creciendo exponencialmente, garantizando una rentabilidad estructural constante para el activo minero.</t>
  </si>
  <si>
    <t>Cerium (Ce): Es la tierra rara más abundante pero comercialmente vital en procesos de manufactura avanzada. Es el agente principal para el pulido químico-mecánico (CMP) de oblea de silicio en la industria de semiconductores de alta precisión. Asimismo, se utiliza extensamente en catalizadores automotrices para reducir emisiones y como filtro contra radiación UV e infrarroja en vidrios y visores espaciales.</t>
  </si>
  <si>
    <t>Samarium (Sm): Crucial para la industria de defensa y aeroespacial gracias a la fabricación de imanes permanentes de Samario-Cobalto (SmCo). Estos imanes destacan por mantener sus propiedades magnéticas a temperaturas extremas sin perder eficiencia, siendo esenciales para sistemas de guía de misiles, satélites y motores aeronáuticos. Su presencia en la mina añade una ventaja competitiva determinante en el sector de materiales estratégicos.</t>
  </si>
  <si>
    <t>Ytterbium (Yb): Elemento clave en el desarrollo de tecnologías láser industriales y de telecomunicaciones. Es la base de los láseres de fibra de alta potencia utilizados para el corte y soldadura de precisión en las industrias automotriz y aeroespacial. Se aplica también en la fabricación de relojes atómicos ultraprecisos y sensores sísmicos de alta sensibilidad, convirtiéndolo en un metal de nicho tecnológico con un valor comercial sostenido.</t>
  </si>
  <si>
    <t>Yttrium (Y): Elemento estratégico con aplicaciones vitales en electrónica, láseres y recubrimientos térmicos. Es fundamental en cristales láser Nd:YAG para telemetría militar y designación de objetivos de precisión. Se utiliza también en cerámicas avanzadas de zirconio estabilizado con itrio (YSZ) para barreras térmicas en turbinas de aviación, protegiendo estructuras contra temperaturas extremas en entornos altamente exigentes.</t>
  </si>
  <si>
    <t>Gallium (Ga): Cotizado en torno a los $2,025/kg, el galio es la piedra angular de los semiconductores compuestos como el Arseniuro de Galio (GaAs) y Nitruro de Galio (GaN). Es insustituible en radares militares de barrido electrónico (AESA), amplificadores de potencia para redes 5G/6G y celdas solares fotovoltaicas para satélites espaciales. La restricción en su oferta global eleva sustancialmente el atractivo comercial del proyecto.</t>
  </si>
  <si>
    <t>Niobium (Nb): Con un precio de mercado cercano a $105/kg, el niobio es un metal de alto valor estratégico para la industria siderúrgica y aeroespacial. Al añadirse en pequeñas cantidades al acero, genera aleaciones de ultra-alta resistencia para oleoductos y estructuras. Asimismo, es la base de aleaciones superconductoras para escáneres de resonancia magnética y turbinas de aviación.</t>
  </si>
  <si>
    <t>Zirconium (Zr): Valuado en $40/kg, el circonio es insustituible en la industria de la energía atómica. Debido a su extremadamente baja sección eficaz de absorción de neutrones y alta resistencia a la corrosión, se utiliza para el revestimiento de barras de combustible en reactores nucleares. También es esencial en toberas de cohetes y componentes sometidos a abrasión y temperatura extrema.</t>
  </si>
  <si>
    <t>Praseodymium (Pr): Típica tierra rara asociada al neodimio, con un papel crucial en imanes permanentes de resistencia térmica superior. Es ampliamente utilizado en motores eléctricos de alta exigencia, aviación militar y turbinas eólicas. Además, se aplica como agente aleante en metales aeronáuticos para reducir el peso y como colorante especializado en visores ópticos de protección contra luz ultravioleta.</t>
  </si>
  <si>
    <t>Praseodymium</t>
  </si>
  <si>
    <t>Erbium (Er): Crucial para la infraestructura mundial de comunicaciones e internet. Actúa como el elemento dopante principal en los amplificadores de fibra óptica (EDFA), permitiendo transmitir señales de datos a través de miles de kilómetros transoceánicos sin pérdida de intensidad. Asimismo, se aplica en láseres médicos de dermatología y sistemas tácticos de medición de distancia para la defensa.</t>
  </si>
  <si>
    <t>Dysprosium (Dy): Aditivo crítico insustituible en la manufactura de imanes de neodimio (NdFeB). Su incorporación permite que los imanes mantengan su magnetismo a elevadas temperaturas de operación, evitando la desdesmagnetización en motores de vehículos eléctricos y cazas militares. Dada la alta concentración geográfica de su oferta mundial, poseer este recurso otorga una prima comercial estratégica superior.</t>
  </si>
  <si>
    <t>Europium (Eu): Insumo de alto valor para la industria fotónica, pantallas táctiles e instrumentación nuclear. Es el dopante responsable de la emisión de luz roja brillante en fósforos para pantallas de control táctico y aviación militar. Además, su elevada capacidad para capturar neutrones lo convierte en un candidato óptimo para barras de control y sistemas de seguridad dentro de reactores nucleares.</t>
  </si>
  <si>
    <t>Terbium (Tb): Tierra rara pesada de extrema escasez y valor comercial crítico. Es el componente activo del Terfenol-D, una aleación magnetostrictiva que cambia de forma ante campos magnéticos, utilizada en transductores navales, sonares militares y sensores de precisión. También se emplea como emisor de luz verde en pantallas de aviación táctica y tecnologías de iluminación fluorescente de alta eficiencia.</t>
  </si>
  <si>
    <t>Gadolinium (Gd): Tierra rara versátil esencial en la industria médica y en la física nuclear. Debido a sus propiedades paramagnéticas, sus compuestos son los agentes de contraste más utilizados globalmente para resonancias magnéticas (RMN). En el sector energético, posee una sección eficaz de absorción de neutrones térmicos muy alta, empleándose en aleaciones de apagado de emergencia de reactores nucleares.</t>
  </si>
  <si>
    <t>Holmium (Ho): Posee el momento magnético más alto de cualquier elemento natural, lo que lo hace extraordinariamente valioso para la física avanzada y la medicina de precisión. Se utiliza en láseres quirúrgicos de holmio (Ho:YAG) para procedimientos urológicos no invasivos y cirugía especializada. También se emplea en concentradores de campo magnético para investigación científica de alta tecnología.</t>
  </si>
  <si>
    <t>Lutetium (Lu): Es la tierra rara más pesada, dura y escasa de la serie, situándose entre los elementos de mayor precio por kilogramo. Su aplicación principal reside en cristales de oxiortosilicato de lutecio (LSO) para escáneres de tomografía por emisión de positrones (PET) en diagnóstico oncológico. Adicionalmente, funciona como un catalizador de altísima eficiencia en el craqueo de petróleo pesado.</t>
  </si>
  <si>
    <t>Thulium (Tm): Elemento de gran escasez utilizado en la producción de sistemas portátiles de rayos X de campo militar y médico, operando sin necesidad de fuentes eléctricas complejas. Sus emisiones láser se aplican en cirugías de alta precisión y sensores meteorológicos LIDAR. Su rareza intrínseca en la corteza terrestre convierte a este yacimiento en un activo de enorme atractivo para compradores especializados.</t>
  </si>
  <si>
    <t>Tantalum (Ta): Valuado en $375/kg, el tantalio es indispensable en la microelectrónica moderna. Permite fabricar capacitores diminutos de muy alta capacidad energética, esenciales para smartphones, computadoras, sistemas de guía de misiles y dispositivos médicos implantables. Su alta resistencia a la corrosión y biocompatibilidad lo convierten en un metal estratégico insustituible para sectores de tecnología punta.</t>
  </si>
  <si>
    <t>Strontium (Sr): Elemento indispensable en la producción de ferritas magnéticas para altavoces, motores de corriente continua y componentes de automoción. Su uso en la tecnología de tubos y vidrios para pantallas garantiza la absorción de emisiones de radiación X. Además, se utiliza masivamente en pigmentos luminiscentes, aleaciones de aluminio para la aviación y pirotecnia de alta intensidad para señalización táctica.</t>
  </si>
  <si>
    <t>Indium (In): Cotizado en $477.5/kg, el indio es fundamental para la era digital gracias a la formación del Óxido de Indio y Estaño (ITO). Este compuesto transparente y conductor es la base de la fabricación de pantallas táctiles, monitores OLED, pantallas de cristal líquido (LCD) y celdas fotovoltaicas de última generación. Es también vital en soldaduras de baja temperatura para semiconductores.</t>
  </si>
  <si>
    <t>Kalium / Potasio (K): Insumo insustituible para la seguridad alimentaria global a través de la industria de fertilizantes agrícolas de alta densidad. En la industria química y farmacéutica, se emplea en la síntesis de reactivos finos, manufactura de vidrio templado de alta resistencia mecánica e industrias de almacenamiento de energía mediante sales fundidas para plantas solares térmicas.</t>
  </si>
  <si>
    <t>Titanium (Ti): Con una cotización de $48.5/kg, el titanio combina una densidad baja con una resistencia mecánica idéntica al acero. Es el metal estructural clave para fuselajes de cazas de combate, turbinas de aviación comercial, cascos de submarinos de ataque y prótesis médicas biocompatibles. Su elevada demanda en defensa garantiza la liquidez de su extracción comercial.</t>
  </si>
  <si>
    <t>Selenium (Se): Valuado en $95/kg, es un semiconductor clave para la fabricación de celdas solares de película delgada de Cobre-Indio-Galio-Selenio (CIGS). Se utiliza extensamente en rectificadores de corriente eléctrica de alta potencia, cristales de protección óptica antirreflectante e industria farmacéutica. La transición hacia energías limpias está incrementando aceleradamente su consumo internacional.</t>
  </si>
  <si>
    <t>Lithium (Li): Conocido como el "oro blanco", el litio es el componente fundamental de los ánodos en las baterías de ion-litio. Impulsa de forma masiva la electromovilidad global, el almacenamiento de energía renovable a gran escala y los dispositivos electrónicos portátiles. La presencia comprobada de este recurso posiciona el activo minero directamente en el foco de los fondos de inversión internacionales.</t>
  </si>
  <si>
    <t>Vanadium (V): Cotizado a $340/kg, el vanadio es vital para el fortalecimiento de aceros estructurales y blindajes tácticos militares. Sin embargo, su mayor potencial radica en las baterías de flujo redox de vanadio, que representan la tecnología dominante para el almacenamiento masivo de energía en redes eléctricas e instalaciones estratégicas aisladas debido a su larga vida útil.</t>
  </si>
  <si>
    <t>Cromium (Cr): Elemento clave en la industria metalúrgica y de defensa para la fabricación de acero inoxidable y aleaciones superresistentes a la corrosión y altas temperaturas. Es fundamental en el recubrimiento protector de componentes aeronáuticos, cañones de armas de fuego y piezas de motor sujetas a extrema fricción. Su demanda industrial es masiva, estable y en continuo crecimiento.</t>
  </si>
  <si>
    <t>Uranium (U): Cotizado en $188.5/kg, el uranio representa la fuente primaria más concentrada para la generación de energía nuclear comercial basal libre de emisiones de carbono. Es también el combustible de propulsión para submarinos y portaaviones estratégicos de potencias globales. Ante el renacimiento atómico global, su presencia eleva sustancialmente el valor geoestratégico del yacimiento.</t>
  </si>
  <si>
    <t>Cobalt (Co): Valuado en $56.29/kg, es un metal estratégico esencial en la química de cátodos NMC para baterías de alta densidad energética empleadas en vehículos eléctricos. Asimismo, es indispensable en superaleaciones base cobalto para álabes de turbinas a reacción, herramientas de corte de extrema dureza e imanes industriales, asegurando una demanda sostenida en múltiples mercados.</t>
  </si>
  <si>
    <t>Beryllium (Be): Metal estructural ultraligero y rígido de altísimo valor estratégico militar. Su estabilidad dimensional a temperaturas extremas lo convierte en el material insustituible para los espejos de telescopios espaciales (como el James Webb), componentes de satélites, giroscopios de navegación e instrumentos de orientación en misiles. Su escasez global garantiza altas cotizaciones de mercado.</t>
  </si>
  <si>
    <t>Germanium (Ge): Con un precio de mercado de $23,250/kg, el germanio es crítico para la industria optoelectrónica. Es el material principal para la fabricación de núcleos de fibra óptica de transmisión masiva de datos, visores e imágenes infrarrojas de visión nocturna militar y celdas solares multiunión de alta eficiencia utilizadas en satélites.</t>
  </si>
  <si>
    <t>Nickel (Ni): Insumo industrial masivo y estratégico con un precio de $17.13/kg. Es el componente principal en la formulación de superaleaciones para motores a reacción que operan a elevadas temperaturas y en la química de baterías de vehículos eléctricos de amplio rango. Su doble rol en la industria pesada y la tecnología limpia asegura flujos comerciales constantes.</t>
  </si>
  <si>
    <t>Aluminum (Al): Elemento base para la industria ligera moderna. Con una ley de 80,800 ppm (8.08%) en el yacimiento, constituye un volumen explotable de enorme valor comercial. Es esencial para fuselajes aeroespaciales, vehículos eléctricos, satélites y sistemas de transmisión eléctrica global, ofreciendo una sólida base monetaria para la viabilidad económica de la mina.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</si>
</sst>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0" x14ac:knownFonts="1">
    <font>
      <sz val="10"/>
      <color rgb="FF000000"/>
      <name val="Times New Roman"/>
      <charset val="204"/>
    </font>
    <font>
      <b/>
      <sz val="7.5"/>
      <name val="Arial"/>
      <family val="2"/>
    </font>
    <font>
      <b/>
      <sz val="7.5"/>
      <color rgb="FFFFFFFF"/>
      <name val="Arial"/>
      <family val="2"/>
    </font>
    <font>
      <sz val="7.5"/>
      <color rgb="FF000000"/>
      <name val="Arial"/>
      <family val="2"/>
    </font>
    <font>
      <sz val="7.5"/>
      <name val="Arial"/>
      <family val="2"/>
    </font>
    <font>
      <sz val="10"/>
      <color rgb="FF000000"/>
      <name val="Arial"/>
      <family val="2"/>
    </font>
    <font>
      <sz val="6"/>
      <name val="Arial"/>
      <family val="2"/>
    </font>
    <font>
      <b/>
      <sz val="12"/>
      <color rgb="FF000000"/>
      <name val="Arial"/>
      <family val="2"/>
    </font>
    <font>
      <sz val="9"/>
      <name val="Arial"/>
      <family val="2"/>
    </font>
    <font>
      <b/>
      <sz val="10"/>
      <color theme="0"/>
      <name val="Arial"/>
      <family val="2"/>
    </font>
  </fonts>
  <fills count="6">
    <fill>
      <patternFill patternType="none"/>
    </fill>
    <fill>
      <patternFill patternType="gray125"/>
    </fill>
    <fill>
      <patternFill patternType="solid">
        <fgColor rgb="FF2F5395"/>
      </patternFill>
    </fill>
    <fill>
      <patternFill patternType="solid">
        <fgColor rgb="FFD9E0F1"/>
      </patternFill>
    </fill>
    <fill>
      <patternFill patternType="solid">
        <fgColor theme="0"/>
        <bgColor indexed="64"/>
      </patternFill>
    </fill>
    <fill>
      <patternFill patternType="solid">
        <fgColor rgb="FF00206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D3D3D3"/>
      </right>
      <top style="thin">
        <color rgb="FF000000"/>
      </top>
      <bottom/>
      <diagonal/>
    </border>
    <border>
      <left/>
      <right/>
      <top style="thin">
        <color rgb="FF000000"/>
      </top>
      <bottom/>
      <diagonal/>
    </border>
    <border>
      <left style="thin">
        <color rgb="FFD3D3D3"/>
      </left>
      <right style="thin">
        <color rgb="FFD3D3D3"/>
      </right>
      <top style="thin">
        <color rgb="FF000000"/>
      </top>
      <bottom/>
      <diagonal/>
    </border>
    <border>
      <left style="thin">
        <color rgb="FFD3D3D3"/>
      </left>
      <right style="thin">
        <color rgb="FFD3D3D3"/>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s>
  <cellStyleXfs count="1">
    <xf numFmtId="0" fontId="0" fillId="0" borderId="0"/>
  </cellStyleXfs>
  <cellXfs count="52">
    <xf numFmtId="0" fontId="0" fillId="0" borderId="0" xfId="0" applyAlignment="1">
      <alignment horizontal="left" vertical="top"/>
    </xf>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indent="1"/>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wrapText="1"/>
    </xf>
    <xf numFmtId="0" fontId="1" fillId="2" borderId="1" xfId="0" applyFont="1" applyFill="1" applyBorder="1" applyAlignment="1">
      <alignment horizontal="left" vertical="top" wrapText="1" indent="2"/>
    </xf>
    <xf numFmtId="0" fontId="5" fillId="0" borderId="1" xfId="0" applyFont="1" applyBorder="1" applyAlignment="1">
      <alignment horizontal="left" vertical="center" wrapText="1"/>
    </xf>
    <xf numFmtId="0" fontId="6" fillId="0" borderId="1" xfId="0" applyFont="1" applyBorder="1" applyAlignment="1">
      <alignment horizontal="left" vertical="top" wrapText="1" indent="1"/>
    </xf>
    <xf numFmtId="0" fontId="0" fillId="4" borderId="0" xfId="0" applyFill="1" applyAlignment="1">
      <alignment horizontal="left" vertical="top"/>
    </xf>
    <xf numFmtId="0" fontId="7" fillId="4" borderId="0" xfId="0" applyFont="1" applyFill="1" applyAlignment="1">
      <alignment horizontal="center" vertical="top"/>
    </xf>
    <xf numFmtId="0" fontId="0" fillId="4" borderId="3" xfId="0" applyFill="1" applyBorder="1" applyAlignment="1">
      <alignment horizontal="left" wrapText="1"/>
    </xf>
    <xf numFmtId="0" fontId="0" fillId="4" borderId="2" xfId="0" applyFill="1" applyBorder="1" applyAlignment="1">
      <alignment horizontal="left" wrapText="1"/>
    </xf>
    <xf numFmtId="0" fontId="0" fillId="4" borderId="4" xfId="0" applyFill="1" applyBorder="1" applyAlignment="1">
      <alignment horizontal="left" wrapText="1"/>
    </xf>
    <xf numFmtId="0" fontId="0" fillId="4" borderId="5" xfId="0" applyFill="1" applyBorder="1" applyAlignment="1">
      <alignment horizontal="left" wrapText="1"/>
    </xf>
    <xf numFmtId="0" fontId="0" fillId="4" borderId="6" xfId="0" applyFill="1" applyBorder="1" applyAlignment="1">
      <alignment horizontal="left" vertical="center" wrapText="1"/>
    </xf>
    <xf numFmtId="0" fontId="0" fillId="4" borderId="0" xfId="0" applyFill="1" applyAlignment="1">
      <alignment horizontal="left" wrapText="1"/>
    </xf>
    <xf numFmtId="0" fontId="0" fillId="4" borderId="8" xfId="0" applyFill="1" applyBorder="1" applyAlignment="1">
      <alignment horizontal="left" wrapText="1"/>
    </xf>
    <xf numFmtId="0" fontId="0" fillId="4" borderId="7" xfId="0" applyFill="1" applyBorder="1" applyAlignment="1">
      <alignment horizontal="left" vertical="center" wrapText="1"/>
    </xf>
    <xf numFmtId="0" fontId="0" fillId="4" borderId="0" xfId="0" applyFill="1" applyAlignment="1">
      <alignment horizontal="left" wrapText="1"/>
    </xf>
    <xf numFmtId="0" fontId="0" fillId="4" borderId="0" xfId="0" applyFill="1" applyBorder="1" applyAlignment="1">
      <alignment horizontal="left" wrapText="1"/>
    </xf>
    <xf numFmtId="4" fontId="3" fillId="4" borderId="0" xfId="0" applyNumberFormat="1" applyFont="1" applyFill="1" applyBorder="1" applyAlignment="1">
      <alignment horizontal="right" vertical="top" shrinkToFit="1"/>
    </xf>
    <xf numFmtId="0" fontId="0" fillId="4" borderId="0" xfId="0" applyFill="1" applyBorder="1" applyAlignment="1">
      <alignment horizontal="left" vertical="center" wrapText="1"/>
    </xf>
    <xf numFmtId="0" fontId="8" fillId="4" borderId="0" xfId="0" applyFont="1" applyFill="1" applyAlignment="1">
      <alignment horizontal="left" vertical="top" wrapText="1"/>
    </xf>
    <xf numFmtId="0" fontId="5" fillId="4" borderId="0" xfId="0" applyFont="1" applyFill="1" applyAlignment="1">
      <alignment horizontal="left" vertical="top"/>
    </xf>
    <xf numFmtId="1" fontId="3" fillId="0" borderId="1" xfId="0" applyNumberFormat="1" applyFont="1" applyBorder="1" applyAlignment="1">
      <alignment horizontal="center" vertical="center" shrinkToFit="1"/>
    </xf>
    <xf numFmtId="0" fontId="4" fillId="0" borderId="1" xfId="0" applyFont="1" applyBorder="1" applyAlignment="1">
      <alignment horizontal="right" vertical="center" wrapText="1"/>
    </xf>
    <xf numFmtId="1" fontId="3" fillId="0" borderId="1" xfId="0" applyNumberFormat="1" applyFont="1" applyBorder="1" applyAlignment="1">
      <alignment horizontal="right" vertical="center" shrinkToFit="1"/>
    </xf>
    <xf numFmtId="3" fontId="3" fillId="0" borderId="1" xfId="0" applyNumberFormat="1" applyFont="1" applyBorder="1" applyAlignment="1">
      <alignment horizontal="right" vertical="center" shrinkToFit="1"/>
    </xf>
    <xf numFmtId="4" fontId="3" fillId="0" borderId="1" xfId="0" applyNumberFormat="1" applyFont="1" applyBorder="1" applyAlignment="1">
      <alignment horizontal="right" vertical="center" shrinkToFit="1"/>
    </xf>
    <xf numFmtId="1" fontId="3" fillId="3" borderId="1" xfId="0" applyNumberFormat="1" applyFont="1" applyFill="1" applyBorder="1" applyAlignment="1">
      <alignment horizontal="center" vertical="center" shrinkToFit="1"/>
    </xf>
    <xf numFmtId="0" fontId="4" fillId="3" borderId="1" xfId="0" applyFont="1" applyFill="1" applyBorder="1" applyAlignment="1">
      <alignment horizontal="right" vertical="center" wrapText="1"/>
    </xf>
    <xf numFmtId="3" fontId="3" fillId="3" borderId="1" xfId="0" applyNumberFormat="1" applyFont="1" applyFill="1" applyBorder="1" applyAlignment="1">
      <alignment horizontal="right" vertical="center" shrinkToFit="1"/>
    </xf>
    <xf numFmtId="2" fontId="3" fillId="3" borderId="1" xfId="0" applyNumberFormat="1" applyFont="1" applyFill="1" applyBorder="1" applyAlignment="1">
      <alignment horizontal="right" vertical="center" shrinkToFit="1"/>
    </xf>
    <xf numFmtId="4" fontId="3" fillId="3" borderId="1" xfId="0" applyNumberFormat="1" applyFont="1" applyFill="1" applyBorder="1" applyAlignment="1">
      <alignment horizontal="right" vertical="center" shrinkToFit="1"/>
    </xf>
    <xf numFmtId="0" fontId="5" fillId="0" borderId="1" xfId="0" applyFont="1" applyBorder="1" applyAlignment="1">
      <alignment horizontal="right" vertical="center" wrapText="1"/>
    </xf>
    <xf numFmtId="1" fontId="3" fillId="3" borderId="1" xfId="0" applyNumberFormat="1" applyFont="1" applyFill="1" applyBorder="1" applyAlignment="1">
      <alignment horizontal="left" vertical="center" shrinkToFit="1"/>
    </xf>
    <xf numFmtId="0" fontId="4" fillId="3" borderId="1" xfId="0" applyFont="1" applyFill="1" applyBorder="1" applyAlignment="1">
      <alignment horizontal="left" vertical="center" wrapText="1"/>
    </xf>
    <xf numFmtId="164" fontId="3" fillId="3" borderId="1" xfId="0" applyNumberFormat="1" applyFont="1" applyFill="1" applyBorder="1" applyAlignment="1">
      <alignment horizontal="left" vertical="center" shrinkToFit="1"/>
    </xf>
    <xf numFmtId="2" fontId="3" fillId="3" borderId="1" xfId="0" applyNumberFormat="1" applyFont="1" applyFill="1" applyBorder="1" applyAlignment="1">
      <alignment horizontal="left" vertical="center" shrinkToFit="1"/>
    </xf>
    <xf numFmtId="1" fontId="3" fillId="0" borderId="1" xfId="0" applyNumberFormat="1" applyFont="1" applyBorder="1" applyAlignment="1">
      <alignment horizontal="left" vertical="center" shrinkToFit="1"/>
    </xf>
    <xf numFmtId="0" fontId="4" fillId="0" borderId="1" xfId="0" applyFont="1" applyBorder="1" applyAlignment="1">
      <alignment horizontal="left" vertical="center" wrapText="1"/>
    </xf>
    <xf numFmtId="2" fontId="3" fillId="0" borderId="1" xfId="0" applyNumberFormat="1" applyFont="1" applyBorder="1" applyAlignment="1">
      <alignment horizontal="left" vertical="center" shrinkToFit="1"/>
    </xf>
    <xf numFmtId="165" fontId="3" fillId="0" borderId="1" xfId="0" applyNumberFormat="1" applyFont="1" applyBorder="1" applyAlignment="1">
      <alignment horizontal="left" vertical="center" shrinkToFit="1"/>
    </xf>
    <xf numFmtId="165" fontId="3" fillId="3" borderId="1" xfId="0" applyNumberFormat="1" applyFont="1" applyFill="1" applyBorder="1" applyAlignment="1">
      <alignment horizontal="left" vertical="center" shrinkToFit="1"/>
    </xf>
    <xf numFmtId="9" fontId="3" fillId="3" borderId="1" xfId="0" applyNumberFormat="1" applyFont="1" applyFill="1" applyBorder="1" applyAlignment="1">
      <alignment horizontal="left" vertical="center" shrinkToFit="1"/>
    </xf>
    <xf numFmtId="4" fontId="3" fillId="0" borderId="1" xfId="0" applyNumberFormat="1" applyFont="1" applyBorder="1" applyAlignment="1">
      <alignment vertical="center" shrinkToFit="1"/>
    </xf>
    <xf numFmtId="4" fontId="3" fillId="3" borderId="1" xfId="0" applyNumberFormat="1" applyFont="1" applyFill="1" applyBorder="1" applyAlignment="1">
      <alignment vertical="center" shrinkToFit="1"/>
    </xf>
    <xf numFmtId="4" fontId="9" fillId="5" borderId="1" xfId="0" applyNumberFormat="1" applyFont="1" applyFill="1" applyBorder="1" applyAlignment="1">
      <alignment horizontal="center" vertical="center" shrinkToFit="1"/>
    </xf>
    <xf numFmtId="0" fontId="6" fillId="0" borderId="1" xfId="0" applyFont="1" applyBorder="1" applyAlignment="1">
      <alignment horizontal="right" vertical="top" wrapText="1"/>
    </xf>
    <xf numFmtId="0" fontId="6" fillId="3" borderId="1" xfId="0" applyFont="1" applyFill="1" applyBorder="1" applyAlignment="1">
      <alignment horizontal="right" vertical="top" wrapText="1"/>
    </xf>
    <xf numFmtId="0" fontId="6" fillId="3" borderId="1" xfId="0" applyFont="1" applyFill="1" applyBorder="1" applyAlignment="1">
      <alignment horizontal="right" wrapText="1" indent="2"/>
    </xf>
    <xf numFmtId="0" fontId="6" fillId="3" borderId="1" xfId="0" applyFont="1" applyFill="1" applyBorder="1" applyAlignment="1">
      <alignment horizontal="left" vertical="top"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73269</xdr:rowOff>
    </xdr:from>
    <xdr:ext cx="1105318" cy="353695"/>
    <xdr:pic>
      <xdr:nvPicPr>
        <xdr:cNvPr id="2" name="image2.jpeg">
          <a:extLst>
            <a:ext uri="{FF2B5EF4-FFF2-40B4-BE49-F238E27FC236}">
              <a16:creationId xmlns:a16="http://schemas.microsoft.com/office/drawing/2014/main" id="{4ABEAD5A-FE06-490F-9A9C-8A4A2885B8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4800" y="73269"/>
          <a:ext cx="1105318" cy="353695"/>
        </a:xfrm>
        <a:prstGeom prst="rect">
          <a:avLst/>
        </a:prstGeom>
      </xdr:spPr>
    </xdr:pic>
    <xdr:clientData/>
  </xdr:oneCellAnchor>
  <xdr:twoCellAnchor editAs="oneCell">
    <xdr:from>
      <xdr:col>9</xdr:col>
      <xdr:colOff>87972</xdr:colOff>
      <xdr:row>43</xdr:row>
      <xdr:rowOff>131836</xdr:rowOff>
    </xdr:from>
    <xdr:to>
      <xdr:col>9</xdr:col>
      <xdr:colOff>454367</xdr:colOff>
      <xdr:row>45</xdr:row>
      <xdr:rowOff>175944</xdr:rowOff>
    </xdr:to>
    <xdr:pic>
      <xdr:nvPicPr>
        <xdr:cNvPr id="3" name="Imagen 2">
          <a:extLst>
            <a:ext uri="{FF2B5EF4-FFF2-40B4-BE49-F238E27FC236}">
              <a16:creationId xmlns:a16="http://schemas.microsoft.com/office/drawing/2014/main" id="{8F1DA190-146F-4B50-BBC0-92BC3996F1E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6200000">
          <a:off x="7006371" y="9310687"/>
          <a:ext cx="1083798" cy="366395"/>
        </a:xfrm>
        <a:prstGeom prst="rect">
          <a:avLst/>
        </a:prstGeom>
        <a:noFill/>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8B6FA-CC9D-4E09-8590-5D922ED5EA93}">
  <dimension ref="A1:K56"/>
  <sheetViews>
    <sheetView tabSelected="1" topLeftCell="A31" zoomScale="130" zoomScaleNormal="130" workbookViewId="0">
      <selection activeCell="H56" sqref="H56"/>
    </sheetView>
  </sheetViews>
  <sheetFormatPr baseColWidth="10" defaultColWidth="9.33203125" defaultRowHeight="12.75" x14ac:dyDescent="0.2"/>
  <cols>
    <col min="1" max="2" width="5.33203125" customWidth="1"/>
    <col min="3" max="3" width="12.33203125" customWidth="1"/>
    <col min="4" max="4" width="6.5" customWidth="1"/>
    <col min="5" max="5" width="14.5" customWidth="1"/>
    <col min="6" max="6" width="13.1640625" customWidth="1"/>
    <col min="7" max="7" width="10.1640625" customWidth="1"/>
    <col min="8" max="8" width="22.1640625" customWidth="1"/>
    <col min="9" max="9" width="52.83203125" customWidth="1"/>
  </cols>
  <sheetData>
    <row r="1" spans="1:11" x14ac:dyDescent="0.2">
      <c r="A1" s="8"/>
      <c r="B1" s="8"/>
      <c r="C1" s="8"/>
      <c r="D1" s="8"/>
      <c r="E1" s="8"/>
      <c r="F1" s="8"/>
      <c r="G1" s="8"/>
      <c r="H1" s="8"/>
      <c r="I1" s="8"/>
      <c r="J1" s="8"/>
    </row>
    <row r="2" spans="1:11" x14ac:dyDescent="0.2">
      <c r="A2" s="8"/>
      <c r="B2" s="8"/>
      <c r="C2" s="8"/>
      <c r="D2" s="8"/>
      <c r="E2" s="8"/>
      <c r="F2" s="8"/>
      <c r="G2" s="8"/>
      <c r="H2" s="8"/>
      <c r="I2" s="8"/>
      <c r="J2" s="8"/>
    </row>
    <row r="3" spans="1:11" x14ac:dyDescent="0.2">
      <c r="A3" s="8"/>
      <c r="B3" s="8"/>
      <c r="C3" s="8"/>
      <c r="D3" s="8"/>
      <c r="E3" s="8"/>
      <c r="F3" s="8"/>
      <c r="G3" s="8"/>
      <c r="H3" s="8"/>
      <c r="I3" s="8"/>
      <c r="J3" s="8"/>
      <c r="K3" s="8"/>
    </row>
    <row r="4" spans="1:11" ht="15.75" x14ac:dyDescent="0.2">
      <c r="A4" s="8"/>
      <c r="B4" s="9" t="s">
        <v>85</v>
      </c>
      <c r="C4" s="9"/>
      <c r="D4" s="9"/>
      <c r="E4" s="9"/>
      <c r="F4" s="9"/>
      <c r="G4" s="9"/>
      <c r="H4" s="9"/>
      <c r="I4" s="9"/>
      <c r="J4" s="8"/>
      <c r="K4" s="8"/>
    </row>
    <row r="5" spans="1:11" x14ac:dyDescent="0.2">
      <c r="A5" s="8"/>
      <c r="B5" s="8"/>
      <c r="C5" s="8"/>
      <c r="D5" s="8"/>
      <c r="E5" s="8"/>
      <c r="F5" s="8"/>
      <c r="G5" s="8"/>
      <c r="H5" s="8"/>
      <c r="I5" s="8"/>
      <c r="J5" s="8"/>
      <c r="K5" s="8"/>
    </row>
    <row r="6" spans="1:11" ht="9.9499999999999993" customHeight="1" x14ac:dyDescent="0.2">
      <c r="A6" s="8"/>
      <c r="B6" s="1" t="s">
        <v>0</v>
      </c>
      <c r="C6" s="2" t="s">
        <v>1</v>
      </c>
      <c r="D6" s="3" t="s">
        <v>2</v>
      </c>
      <c r="E6" s="2" t="s">
        <v>3</v>
      </c>
      <c r="F6" s="1" t="s">
        <v>4</v>
      </c>
      <c r="G6" s="4" t="s">
        <v>5</v>
      </c>
      <c r="H6" s="5" t="s">
        <v>6</v>
      </c>
      <c r="I6" s="1" t="s">
        <v>7</v>
      </c>
      <c r="J6" s="8"/>
    </row>
    <row r="7" spans="1:11" ht="53.25" customHeight="1" x14ac:dyDescent="0.2">
      <c r="A7" s="8"/>
      <c r="B7" s="24">
        <v>1</v>
      </c>
      <c r="C7" s="25" t="s">
        <v>8</v>
      </c>
      <c r="D7" s="26">
        <v>20</v>
      </c>
      <c r="E7" s="27">
        <v>59000000</v>
      </c>
      <c r="F7" s="28">
        <v>59000</v>
      </c>
      <c r="G7" s="25" t="s">
        <v>9</v>
      </c>
      <c r="H7" s="45">
        <v>3687500000</v>
      </c>
      <c r="I7" s="48" t="s">
        <v>88</v>
      </c>
      <c r="J7" s="8"/>
    </row>
    <row r="8" spans="1:11" ht="49.5" x14ac:dyDescent="0.2">
      <c r="A8" s="8"/>
      <c r="B8" s="29">
        <v>2</v>
      </c>
      <c r="C8" s="36" t="s">
        <v>10</v>
      </c>
      <c r="D8" s="37">
        <v>0.13400000000000001</v>
      </c>
      <c r="E8" s="31">
        <v>395300</v>
      </c>
      <c r="F8" s="32">
        <v>395</v>
      </c>
      <c r="G8" s="30" t="s">
        <v>11</v>
      </c>
      <c r="H8" s="46">
        <v>61775487735</v>
      </c>
      <c r="I8" s="49" t="s">
        <v>89</v>
      </c>
      <c r="J8" s="8"/>
    </row>
    <row r="9" spans="1:11" ht="57.75" x14ac:dyDescent="0.2">
      <c r="A9" s="8"/>
      <c r="B9" s="24">
        <v>3</v>
      </c>
      <c r="C9" s="40" t="s">
        <v>12</v>
      </c>
      <c r="D9" s="39">
        <v>154</v>
      </c>
      <c r="E9" s="27">
        <v>454300000</v>
      </c>
      <c r="F9" s="28">
        <v>454300</v>
      </c>
      <c r="G9" s="25" t="s">
        <v>13</v>
      </c>
      <c r="H9" s="45">
        <v>31801000000000</v>
      </c>
      <c r="I9" s="48" t="s">
        <v>90</v>
      </c>
      <c r="J9" s="8"/>
    </row>
    <row r="10" spans="1:11" ht="49.5" x14ac:dyDescent="0.2">
      <c r="A10" s="8"/>
      <c r="B10" s="29">
        <v>4</v>
      </c>
      <c r="C10" s="36" t="s">
        <v>14</v>
      </c>
      <c r="D10" s="38">
        <v>4.7699999999999996</v>
      </c>
      <c r="E10" s="31">
        <v>14071500</v>
      </c>
      <c r="F10" s="33">
        <v>14071.5</v>
      </c>
      <c r="G10" s="30" t="s">
        <v>15</v>
      </c>
      <c r="H10" s="46">
        <v>703575000000</v>
      </c>
      <c r="I10" s="49" t="s">
        <v>91</v>
      </c>
      <c r="J10" s="8"/>
    </row>
    <row r="11" spans="1:11" ht="49.5" x14ac:dyDescent="0.2">
      <c r="A11" s="8"/>
      <c r="B11" s="24">
        <v>5</v>
      </c>
      <c r="C11" s="40" t="s">
        <v>16</v>
      </c>
      <c r="D11" s="41">
        <v>17.46</v>
      </c>
      <c r="E11" s="27">
        <v>51507000</v>
      </c>
      <c r="F11" s="28">
        <v>51507</v>
      </c>
      <c r="G11" s="25" t="s">
        <v>17</v>
      </c>
      <c r="H11" s="45">
        <v>1545210000</v>
      </c>
      <c r="I11" s="48" t="s">
        <v>92</v>
      </c>
      <c r="J11" s="8"/>
    </row>
    <row r="12" spans="1:11" ht="49.5" x14ac:dyDescent="0.2">
      <c r="A12" s="8"/>
      <c r="B12" s="29">
        <v>6</v>
      </c>
      <c r="C12" s="36" t="s">
        <v>18</v>
      </c>
      <c r="D12" s="38">
        <v>8.18</v>
      </c>
      <c r="E12" s="31">
        <v>24131000</v>
      </c>
      <c r="F12" s="33">
        <v>24131</v>
      </c>
      <c r="G12" s="30" t="s">
        <v>19</v>
      </c>
      <c r="H12" s="46">
        <v>2171790000000</v>
      </c>
      <c r="I12" s="49" t="s">
        <v>93</v>
      </c>
      <c r="J12" s="8"/>
    </row>
    <row r="13" spans="1:11" ht="49.5" x14ac:dyDescent="0.2">
      <c r="A13" s="8"/>
      <c r="B13" s="24">
        <v>7</v>
      </c>
      <c r="C13" s="40" t="s">
        <v>20</v>
      </c>
      <c r="D13" s="42">
        <v>67.3</v>
      </c>
      <c r="E13" s="27">
        <v>198535000</v>
      </c>
      <c r="F13" s="28">
        <v>198535</v>
      </c>
      <c r="G13" s="25" t="s">
        <v>21</v>
      </c>
      <c r="H13" s="45">
        <v>89340750000</v>
      </c>
      <c r="I13" s="48" t="s">
        <v>94</v>
      </c>
      <c r="J13" s="8"/>
    </row>
    <row r="14" spans="1:11" ht="49.5" x14ac:dyDescent="0.2">
      <c r="A14" s="8"/>
      <c r="B14" s="29">
        <v>8</v>
      </c>
      <c r="C14" s="36" t="s">
        <v>22</v>
      </c>
      <c r="D14" s="43">
        <v>11.8</v>
      </c>
      <c r="E14" s="31">
        <v>34810000</v>
      </c>
      <c r="F14" s="31">
        <v>34810</v>
      </c>
      <c r="G14" s="30" t="s">
        <v>23</v>
      </c>
      <c r="H14" s="46">
        <v>150414010000</v>
      </c>
      <c r="I14" s="49" t="s">
        <v>95</v>
      </c>
      <c r="J14" s="8"/>
    </row>
    <row r="15" spans="1:11" ht="49.5" x14ac:dyDescent="0.2">
      <c r="A15" s="8"/>
      <c r="B15" s="24">
        <v>9</v>
      </c>
      <c r="C15" s="40" t="s">
        <v>24</v>
      </c>
      <c r="D15" s="41">
        <v>42.56</v>
      </c>
      <c r="E15" s="28">
        <v>125552000</v>
      </c>
      <c r="F15" s="27">
        <v>125552</v>
      </c>
      <c r="G15" s="25" t="s">
        <v>25</v>
      </c>
      <c r="H15" s="45">
        <v>56498400000</v>
      </c>
      <c r="I15" s="48" t="s">
        <v>96</v>
      </c>
      <c r="J15" s="8"/>
    </row>
    <row r="16" spans="1:11" ht="41.25" x14ac:dyDescent="0.2">
      <c r="A16" s="8"/>
      <c r="B16" s="29">
        <v>10</v>
      </c>
      <c r="C16" s="36" t="s">
        <v>26</v>
      </c>
      <c r="D16" s="38">
        <v>117.43</v>
      </c>
      <c r="E16" s="31">
        <v>274786200</v>
      </c>
      <c r="F16" s="33">
        <v>274786.2</v>
      </c>
      <c r="G16" s="30" t="s">
        <v>27</v>
      </c>
      <c r="H16" s="46">
        <v>151132410000</v>
      </c>
      <c r="I16" s="49" t="s">
        <v>97</v>
      </c>
      <c r="J16" s="8"/>
    </row>
    <row r="17" spans="1:10" ht="49.5" x14ac:dyDescent="0.2">
      <c r="A17" s="8"/>
      <c r="B17" s="24">
        <v>11</v>
      </c>
      <c r="C17" s="40" t="s">
        <v>28</v>
      </c>
      <c r="D17" s="41">
        <v>9.68</v>
      </c>
      <c r="E17" s="27">
        <v>28556000</v>
      </c>
      <c r="F17" s="28">
        <v>28556</v>
      </c>
      <c r="G17" s="25" t="s">
        <v>29</v>
      </c>
      <c r="H17" s="45">
        <v>1427800000</v>
      </c>
      <c r="I17" s="48" t="s">
        <v>98</v>
      </c>
      <c r="J17" s="8"/>
    </row>
    <row r="18" spans="1:10" ht="49.5" x14ac:dyDescent="0.2">
      <c r="A18" s="8"/>
      <c r="B18" s="29">
        <v>12</v>
      </c>
      <c r="C18" s="36" t="s">
        <v>30</v>
      </c>
      <c r="D18" s="38">
        <v>5.14</v>
      </c>
      <c r="E18" s="31">
        <v>15163000</v>
      </c>
      <c r="F18" s="33">
        <v>15163</v>
      </c>
      <c r="G18" s="30" t="s">
        <v>31</v>
      </c>
      <c r="H18" s="46">
        <v>40940100000</v>
      </c>
      <c r="I18" s="49" t="s">
        <v>99</v>
      </c>
      <c r="J18" s="8"/>
    </row>
    <row r="19" spans="1:10" ht="49.5" x14ac:dyDescent="0.2">
      <c r="A19" s="8"/>
      <c r="B19" s="24">
        <v>13</v>
      </c>
      <c r="C19" s="40" t="s">
        <v>32</v>
      </c>
      <c r="D19" s="41">
        <v>32.61</v>
      </c>
      <c r="E19" s="27">
        <v>96199500</v>
      </c>
      <c r="F19" s="28">
        <v>96199.5</v>
      </c>
      <c r="G19" s="25" t="s">
        <v>33</v>
      </c>
      <c r="H19" s="45">
        <v>115439400000</v>
      </c>
      <c r="I19" s="48" t="s">
        <v>100</v>
      </c>
      <c r="J19" s="8"/>
    </row>
    <row r="20" spans="1:10" ht="49.5" x14ac:dyDescent="0.2">
      <c r="A20" s="8"/>
      <c r="B20" s="29">
        <v>14</v>
      </c>
      <c r="C20" s="36" t="s">
        <v>34</v>
      </c>
      <c r="D20" s="43">
        <v>23</v>
      </c>
      <c r="E20" s="31">
        <v>6785000</v>
      </c>
      <c r="F20" s="33">
        <v>6785</v>
      </c>
      <c r="G20" s="30" t="s">
        <v>35</v>
      </c>
      <c r="H20" s="46">
        <v>6316835000</v>
      </c>
      <c r="I20" s="49" t="s">
        <v>101</v>
      </c>
      <c r="J20" s="8"/>
    </row>
    <row r="21" spans="1:10" ht="41.25" x14ac:dyDescent="0.2">
      <c r="A21" s="8"/>
      <c r="B21" s="24">
        <v>15</v>
      </c>
      <c r="C21" s="40" t="s">
        <v>36</v>
      </c>
      <c r="D21" s="42">
        <v>42</v>
      </c>
      <c r="E21" s="27">
        <v>1239000000</v>
      </c>
      <c r="F21" s="28">
        <v>1239000</v>
      </c>
      <c r="G21" s="25" t="s">
        <v>37</v>
      </c>
      <c r="H21" s="45">
        <v>96642000000</v>
      </c>
      <c r="I21" s="48" t="s">
        <v>102</v>
      </c>
      <c r="J21" s="8"/>
    </row>
    <row r="22" spans="1:10" ht="41.25" x14ac:dyDescent="0.2">
      <c r="A22" s="8"/>
      <c r="B22" s="29">
        <v>16</v>
      </c>
      <c r="C22" s="36" t="s">
        <v>38</v>
      </c>
      <c r="D22" s="35">
        <v>351</v>
      </c>
      <c r="E22" s="31">
        <v>1035450000</v>
      </c>
      <c r="F22" s="33">
        <v>1035450</v>
      </c>
      <c r="G22" s="30" t="s">
        <v>39</v>
      </c>
      <c r="H22" s="46">
        <v>36240750000</v>
      </c>
      <c r="I22" s="49" t="s">
        <v>103</v>
      </c>
      <c r="J22" s="8"/>
    </row>
    <row r="23" spans="1:10" ht="41.25" x14ac:dyDescent="0.2">
      <c r="A23" s="8"/>
      <c r="B23" s="24">
        <v>17</v>
      </c>
      <c r="C23" s="40" t="s">
        <v>105</v>
      </c>
      <c r="D23" s="42">
        <v>11.7</v>
      </c>
      <c r="E23" s="27">
        <v>34515000</v>
      </c>
      <c r="F23" s="28">
        <v>34515</v>
      </c>
      <c r="G23" s="25" t="s">
        <v>40</v>
      </c>
      <c r="H23" s="45">
        <v>6212700000</v>
      </c>
      <c r="I23" s="48" t="s">
        <v>104</v>
      </c>
      <c r="J23" s="8"/>
    </row>
    <row r="24" spans="1:10" ht="41.25" x14ac:dyDescent="0.2">
      <c r="A24" s="8"/>
      <c r="B24" s="29">
        <v>18</v>
      </c>
      <c r="C24" s="36" t="s">
        <v>41</v>
      </c>
      <c r="D24" s="43">
        <v>4.3</v>
      </c>
      <c r="E24" s="31">
        <v>12685000</v>
      </c>
      <c r="F24" s="33">
        <v>12685</v>
      </c>
      <c r="G24" s="30" t="s">
        <v>42</v>
      </c>
      <c r="H24" s="46">
        <v>23847800000</v>
      </c>
      <c r="I24" s="49" t="s">
        <v>106</v>
      </c>
      <c r="J24" s="8"/>
    </row>
    <row r="25" spans="1:10" ht="49.5" x14ac:dyDescent="0.2">
      <c r="A25" s="8"/>
      <c r="B25" s="24">
        <v>19</v>
      </c>
      <c r="C25" s="40" t="s">
        <v>43</v>
      </c>
      <c r="D25" s="42">
        <v>6.2</v>
      </c>
      <c r="E25" s="27">
        <v>18290000</v>
      </c>
      <c r="F25" s="28">
        <v>18290</v>
      </c>
      <c r="G25" s="25" t="s">
        <v>44</v>
      </c>
      <c r="H25" s="45">
        <v>14632000000</v>
      </c>
      <c r="I25" s="48" t="s">
        <v>107</v>
      </c>
      <c r="J25" s="8"/>
    </row>
    <row r="26" spans="1:10" ht="41.25" x14ac:dyDescent="0.2">
      <c r="A26" s="8"/>
      <c r="B26" s="29">
        <v>20</v>
      </c>
      <c r="C26" s="36" t="s">
        <v>45</v>
      </c>
      <c r="D26" s="38">
        <v>2.0299999999999998</v>
      </c>
      <c r="E26" s="31">
        <v>4750200</v>
      </c>
      <c r="F26" s="33">
        <v>4750.2</v>
      </c>
      <c r="G26" s="30" t="s">
        <v>46</v>
      </c>
      <c r="H26" s="46">
        <v>4750200000</v>
      </c>
      <c r="I26" s="49" t="s">
        <v>108</v>
      </c>
      <c r="J26" s="8"/>
    </row>
    <row r="27" spans="1:10" ht="41.25" x14ac:dyDescent="0.2">
      <c r="A27" s="8"/>
      <c r="B27" s="24">
        <v>21</v>
      </c>
      <c r="C27" s="40" t="s">
        <v>47</v>
      </c>
      <c r="D27" s="41">
        <v>1.18</v>
      </c>
      <c r="E27" s="27">
        <v>3481000</v>
      </c>
      <c r="F27" s="28">
        <v>3481</v>
      </c>
      <c r="G27" s="25" t="s">
        <v>48</v>
      </c>
      <c r="H27" s="45">
        <v>6627824000</v>
      </c>
      <c r="I27" s="48" t="s">
        <v>109</v>
      </c>
      <c r="J27" s="8"/>
    </row>
    <row r="28" spans="1:10" ht="41.25" x14ac:dyDescent="0.2">
      <c r="A28" s="8"/>
      <c r="B28" s="29">
        <v>22</v>
      </c>
      <c r="C28" s="36" t="s">
        <v>49</v>
      </c>
      <c r="D28" s="43">
        <v>7.5</v>
      </c>
      <c r="E28" s="31">
        <v>22125000</v>
      </c>
      <c r="F28" s="33">
        <v>22125</v>
      </c>
      <c r="G28" s="30" t="s">
        <v>50</v>
      </c>
      <c r="H28" s="46">
        <v>8850000000</v>
      </c>
      <c r="I28" s="49" t="s">
        <v>110</v>
      </c>
      <c r="J28" s="8"/>
    </row>
    <row r="29" spans="1:10" ht="41.25" x14ac:dyDescent="0.2">
      <c r="A29" s="8"/>
      <c r="B29" s="24">
        <v>23</v>
      </c>
      <c r="C29" s="40" t="s">
        <v>51</v>
      </c>
      <c r="D29" s="42">
        <v>1.2</v>
      </c>
      <c r="E29" s="27">
        <v>280800000</v>
      </c>
      <c r="F29" s="28">
        <v>280800</v>
      </c>
      <c r="G29" s="25" t="s">
        <v>52</v>
      </c>
      <c r="H29" s="45">
        <v>275184000000</v>
      </c>
      <c r="I29" s="48" t="s">
        <v>111</v>
      </c>
      <c r="J29" s="8"/>
    </row>
    <row r="30" spans="1:10" ht="41.25" x14ac:dyDescent="0.2">
      <c r="A30" s="8"/>
      <c r="B30" s="29">
        <v>24</v>
      </c>
      <c r="C30" s="36" t="s">
        <v>53</v>
      </c>
      <c r="D30" s="38">
        <v>0.74</v>
      </c>
      <c r="E30" s="31">
        <v>2183000</v>
      </c>
      <c r="F30" s="33">
        <v>2183</v>
      </c>
      <c r="G30" s="30" t="s">
        <v>54</v>
      </c>
      <c r="H30" s="46">
        <v>21830000000</v>
      </c>
      <c r="I30" s="49" t="s">
        <v>112</v>
      </c>
      <c r="J30" s="8"/>
    </row>
    <row r="31" spans="1:10" ht="41.25" x14ac:dyDescent="0.2">
      <c r="A31" s="8"/>
      <c r="B31" s="24">
        <v>25</v>
      </c>
      <c r="C31" s="40" t="s">
        <v>55</v>
      </c>
      <c r="D31" s="42">
        <v>0.6</v>
      </c>
      <c r="E31" s="27">
        <v>1770000</v>
      </c>
      <c r="F31" s="28">
        <v>1770</v>
      </c>
      <c r="G31" s="25" t="s">
        <v>56</v>
      </c>
      <c r="H31" s="45">
        <v>8850000000</v>
      </c>
      <c r="I31" s="48" t="s">
        <v>113</v>
      </c>
      <c r="J31" s="8"/>
    </row>
    <row r="32" spans="1:10" ht="49.5" x14ac:dyDescent="0.15">
      <c r="A32" s="8"/>
      <c r="B32" s="29">
        <v>26</v>
      </c>
      <c r="C32" s="36" t="s">
        <v>57</v>
      </c>
      <c r="D32" s="38">
        <v>2.4700000000000002</v>
      </c>
      <c r="E32" s="31">
        <v>7286500</v>
      </c>
      <c r="F32" s="33">
        <v>7286.5</v>
      </c>
      <c r="G32" s="30" t="s">
        <v>58</v>
      </c>
      <c r="H32" s="46">
        <v>1457300000</v>
      </c>
      <c r="I32" s="50" t="s">
        <v>114</v>
      </c>
      <c r="J32" s="8"/>
    </row>
    <row r="33" spans="1:10" ht="41.25" x14ac:dyDescent="0.2">
      <c r="A33" s="8"/>
      <c r="B33" s="24">
        <v>27</v>
      </c>
      <c r="C33" s="40" t="s">
        <v>59</v>
      </c>
      <c r="D33" s="39">
        <v>138</v>
      </c>
      <c r="E33" s="27">
        <v>407100000</v>
      </c>
      <c r="F33" s="28">
        <v>407100</v>
      </c>
      <c r="G33" s="25" t="s">
        <v>60</v>
      </c>
      <c r="H33" s="45">
        <v>4071000000</v>
      </c>
      <c r="I33" s="48" t="s">
        <v>115</v>
      </c>
      <c r="J33" s="8"/>
    </row>
    <row r="34" spans="1:10" ht="49.5" x14ac:dyDescent="0.2">
      <c r="A34" s="8"/>
      <c r="B34" s="29">
        <v>28</v>
      </c>
      <c r="C34" s="36" t="s">
        <v>61</v>
      </c>
      <c r="D34" s="43">
        <v>0.2</v>
      </c>
      <c r="E34" s="31">
        <v>590000</v>
      </c>
      <c r="F34" s="32">
        <v>590</v>
      </c>
      <c r="G34" s="30" t="s">
        <v>62</v>
      </c>
      <c r="H34" s="46">
        <v>415360000</v>
      </c>
      <c r="I34" s="51" t="s">
        <v>116</v>
      </c>
      <c r="J34" s="8"/>
    </row>
    <row r="35" spans="1:10" ht="41.25" x14ac:dyDescent="0.2">
      <c r="A35" s="8"/>
      <c r="B35" s="24">
        <v>29</v>
      </c>
      <c r="C35" s="6" t="s">
        <v>63</v>
      </c>
      <c r="D35" s="40" t="s">
        <v>64</v>
      </c>
      <c r="E35" s="34"/>
      <c r="F35" s="28">
        <v>107675000</v>
      </c>
      <c r="G35" s="25" t="s">
        <v>65</v>
      </c>
      <c r="H35" s="45">
        <v>2691875000000</v>
      </c>
      <c r="I35" s="7" t="s">
        <v>117</v>
      </c>
      <c r="J35" s="8"/>
    </row>
    <row r="36" spans="1:10" ht="41.25" x14ac:dyDescent="0.2">
      <c r="A36" s="8"/>
      <c r="B36" s="29">
        <v>30</v>
      </c>
      <c r="C36" s="36" t="s">
        <v>66</v>
      </c>
      <c r="D36" s="36" t="s">
        <v>67</v>
      </c>
      <c r="E36" s="31">
        <v>5546000000</v>
      </c>
      <c r="F36" s="33">
        <v>5546000</v>
      </c>
      <c r="G36" s="30" t="s">
        <v>17</v>
      </c>
      <c r="H36" s="46">
        <v>166380000000</v>
      </c>
      <c r="I36" s="49" t="s">
        <v>118</v>
      </c>
      <c r="J36" s="8"/>
    </row>
    <row r="37" spans="1:10" ht="41.25" x14ac:dyDescent="0.2">
      <c r="A37" s="8"/>
      <c r="B37" s="24">
        <v>31</v>
      </c>
      <c r="C37" s="40" t="s">
        <v>68</v>
      </c>
      <c r="D37" s="41">
        <v>5</v>
      </c>
      <c r="E37" s="27">
        <v>14750000</v>
      </c>
      <c r="F37" s="28">
        <v>14750</v>
      </c>
      <c r="G37" s="25" t="s">
        <v>69</v>
      </c>
      <c r="H37" s="45">
        <v>1062000000</v>
      </c>
      <c r="I37" s="48" t="s">
        <v>119</v>
      </c>
      <c r="J37" s="8"/>
    </row>
    <row r="38" spans="1:10" ht="41.25" x14ac:dyDescent="0.2">
      <c r="A38" s="8"/>
      <c r="B38" s="29">
        <v>32</v>
      </c>
      <c r="C38" s="36" t="s">
        <v>70</v>
      </c>
      <c r="D38" s="38">
        <v>21</v>
      </c>
      <c r="E38" s="31">
        <v>61950000</v>
      </c>
      <c r="F38" s="33">
        <v>61950</v>
      </c>
      <c r="G38" s="30" t="s">
        <v>71</v>
      </c>
      <c r="H38" s="46">
        <v>1239000000</v>
      </c>
      <c r="I38" s="49" t="s">
        <v>120</v>
      </c>
      <c r="J38" s="8"/>
    </row>
    <row r="39" spans="1:10" ht="41.25" x14ac:dyDescent="0.2">
      <c r="A39" s="8"/>
      <c r="B39" s="24">
        <v>33</v>
      </c>
      <c r="C39" s="40" t="s">
        <v>72</v>
      </c>
      <c r="D39" s="41">
        <v>7.7</v>
      </c>
      <c r="E39" s="27">
        <v>22715000</v>
      </c>
      <c r="F39" s="28">
        <v>22715</v>
      </c>
      <c r="G39" s="25" t="s">
        <v>73</v>
      </c>
      <c r="H39" s="45">
        <v>2385075000</v>
      </c>
      <c r="I39" s="48" t="s">
        <v>121</v>
      </c>
      <c r="J39" s="8"/>
    </row>
    <row r="40" spans="1:10" ht="41.25" x14ac:dyDescent="0.2">
      <c r="A40" s="8"/>
      <c r="B40" s="29">
        <v>34</v>
      </c>
      <c r="C40" s="36" t="s">
        <v>74</v>
      </c>
      <c r="D40" s="38">
        <v>29</v>
      </c>
      <c r="E40" s="31">
        <v>85550000</v>
      </c>
      <c r="F40" s="33">
        <v>85550</v>
      </c>
      <c r="G40" s="30" t="s">
        <v>60</v>
      </c>
      <c r="H40" s="46">
        <v>855500000</v>
      </c>
      <c r="I40" s="49" t="s">
        <v>122</v>
      </c>
      <c r="J40" s="8"/>
    </row>
    <row r="41" spans="1:10" ht="41.25" x14ac:dyDescent="0.2">
      <c r="A41" s="8"/>
      <c r="B41" s="24">
        <v>35</v>
      </c>
      <c r="C41" s="40" t="s">
        <v>75</v>
      </c>
      <c r="D41" s="41">
        <v>4.2</v>
      </c>
      <c r="E41" s="27">
        <v>12390000</v>
      </c>
      <c r="F41" s="28">
        <v>12390</v>
      </c>
      <c r="G41" s="25" t="s">
        <v>76</v>
      </c>
      <c r="H41" s="45">
        <v>607110000</v>
      </c>
      <c r="I41" s="48" t="s">
        <v>123</v>
      </c>
      <c r="J41" s="8"/>
    </row>
    <row r="42" spans="1:10" ht="41.25" x14ac:dyDescent="0.2">
      <c r="A42" s="8"/>
      <c r="B42" s="29">
        <v>36</v>
      </c>
      <c r="C42" s="36" t="s">
        <v>77</v>
      </c>
      <c r="D42" s="38">
        <v>1.7</v>
      </c>
      <c r="E42" s="31">
        <v>5015000</v>
      </c>
      <c r="F42" s="33">
        <v>5015</v>
      </c>
      <c r="G42" s="30" t="s">
        <v>29</v>
      </c>
      <c r="H42" s="46">
        <v>250750000</v>
      </c>
      <c r="I42" s="49" t="s">
        <v>124</v>
      </c>
      <c r="J42" s="8"/>
    </row>
    <row r="43" spans="1:10" ht="41.25" x14ac:dyDescent="0.2">
      <c r="A43" s="8"/>
      <c r="B43" s="24">
        <v>37</v>
      </c>
      <c r="C43" s="40" t="s">
        <v>78</v>
      </c>
      <c r="D43" s="41">
        <v>2.1800000000000002</v>
      </c>
      <c r="E43" s="27">
        <v>6431000</v>
      </c>
      <c r="F43" s="28">
        <v>6431</v>
      </c>
      <c r="G43" s="25" t="s">
        <v>79</v>
      </c>
      <c r="H43" s="45">
        <v>14148200000</v>
      </c>
      <c r="I43" s="48" t="s">
        <v>125</v>
      </c>
      <c r="J43" s="8"/>
    </row>
    <row r="44" spans="1:10" ht="41.25" x14ac:dyDescent="0.2">
      <c r="A44" s="8"/>
      <c r="B44" s="29">
        <v>38</v>
      </c>
      <c r="C44" s="36" t="s">
        <v>80</v>
      </c>
      <c r="D44" s="38">
        <v>0.26</v>
      </c>
      <c r="E44" s="31">
        <v>767000</v>
      </c>
      <c r="F44" s="32">
        <v>767</v>
      </c>
      <c r="G44" s="30" t="s">
        <v>81</v>
      </c>
      <c r="H44" s="46">
        <v>1994200000</v>
      </c>
      <c r="I44" s="49" t="s">
        <v>126</v>
      </c>
      <c r="J44" s="8"/>
    </row>
    <row r="45" spans="1:10" ht="41.25" x14ac:dyDescent="0.2">
      <c r="A45" s="8"/>
      <c r="B45" s="24">
        <v>39</v>
      </c>
      <c r="C45" s="40" t="s">
        <v>82</v>
      </c>
      <c r="D45" s="41">
        <v>8.32</v>
      </c>
      <c r="E45" s="27">
        <v>24544000</v>
      </c>
      <c r="F45" s="28">
        <v>24544</v>
      </c>
      <c r="G45" s="25" t="s">
        <v>17</v>
      </c>
      <c r="H45" s="45">
        <v>736320000</v>
      </c>
      <c r="I45" s="48" t="s">
        <v>127</v>
      </c>
      <c r="J45" s="8"/>
    </row>
    <row r="46" spans="1:10" ht="41.25" x14ac:dyDescent="0.2">
      <c r="A46" s="8"/>
      <c r="B46" s="29">
        <v>40</v>
      </c>
      <c r="C46" s="36" t="s">
        <v>83</v>
      </c>
      <c r="D46" s="44">
        <v>7.0000000000000007E-2</v>
      </c>
      <c r="E46" s="31">
        <v>206500000000</v>
      </c>
      <c r="F46" s="33">
        <v>206500000</v>
      </c>
      <c r="G46" s="30" t="s">
        <v>84</v>
      </c>
      <c r="H46" s="46">
        <v>619500000000</v>
      </c>
      <c r="I46" s="49" t="s">
        <v>128</v>
      </c>
      <c r="J46" s="8"/>
    </row>
    <row r="47" spans="1:10" ht="6.95" customHeight="1" x14ac:dyDescent="0.2">
      <c r="A47" s="8"/>
      <c r="B47" s="10"/>
      <c r="C47" s="11"/>
      <c r="D47" s="12"/>
      <c r="E47" s="12"/>
      <c r="F47" s="12"/>
      <c r="G47" s="12"/>
      <c r="H47" s="13"/>
      <c r="I47" s="14"/>
      <c r="J47" s="8"/>
    </row>
    <row r="48" spans="1:10" ht="14.25" customHeight="1" x14ac:dyDescent="0.2">
      <c r="A48" s="8"/>
      <c r="B48" s="15"/>
      <c r="C48" s="15"/>
      <c r="D48" s="15"/>
      <c r="E48" s="15"/>
      <c r="F48" s="15"/>
      <c r="G48" s="16"/>
      <c r="H48" s="47">
        <f>SUM(H7:H47)</f>
        <v>39365526991735</v>
      </c>
      <c r="I48" s="17"/>
      <c r="J48" s="8"/>
    </row>
    <row r="49" spans="1:10" ht="14.25" customHeight="1" x14ac:dyDescent="0.2">
      <c r="A49" s="8"/>
      <c r="B49" s="18"/>
      <c r="C49" s="18"/>
      <c r="D49" s="18"/>
      <c r="E49" s="18"/>
      <c r="F49" s="18"/>
      <c r="G49" s="19"/>
      <c r="H49" s="20"/>
      <c r="I49" s="21"/>
      <c r="J49" s="8"/>
    </row>
    <row r="50" spans="1:10" ht="12.75" customHeight="1" x14ac:dyDescent="0.2">
      <c r="A50" s="8"/>
      <c r="B50" s="22" t="s">
        <v>86</v>
      </c>
      <c r="C50" s="22"/>
      <c r="D50" s="22"/>
      <c r="E50" s="22"/>
      <c r="F50" s="22"/>
      <c r="G50" s="22"/>
      <c r="H50" s="22"/>
      <c r="I50" s="22"/>
      <c r="J50" s="8"/>
    </row>
    <row r="51" spans="1:10" x14ac:dyDescent="0.2">
      <c r="A51" s="8"/>
      <c r="B51" s="23" t="s">
        <v>87</v>
      </c>
      <c r="C51" s="23"/>
      <c r="D51" s="23"/>
      <c r="E51" s="23"/>
      <c r="F51" s="23"/>
      <c r="G51" s="23"/>
      <c r="H51" s="23"/>
      <c r="I51" s="23"/>
      <c r="J51" s="8"/>
    </row>
    <row r="52" spans="1:10" x14ac:dyDescent="0.2">
      <c r="A52" s="8"/>
      <c r="B52" s="8"/>
      <c r="C52" s="8"/>
      <c r="D52" s="8"/>
      <c r="E52" s="8"/>
      <c r="F52" s="8"/>
      <c r="G52" s="8"/>
      <c r="H52" s="8"/>
      <c r="I52" s="8"/>
      <c r="J52" s="8"/>
    </row>
    <row r="53" spans="1:10" x14ac:dyDescent="0.2">
      <c r="A53" s="8"/>
      <c r="B53" s="8"/>
      <c r="C53" s="8"/>
      <c r="D53" s="8"/>
      <c r="E53" s="8"/>
      <c r="F53" s="8"/>
      <c r="G53" s="8"/>
      <c r="H53" s="8"/>
      <c r="I53" s="8"/>
      <c r="J53" s="8"/>
    </row>
    <row r="54" spans="1:10" x14ac:dyDescent="0.2">
      <c r="A54" s="8"/>
      <c r="B54" s="8"/>
      <c r="C54" s="8"/>
      <c r="D54" s="8"/>
      <c r="E54" s="8"/>
      <c r="F54" s="8"/>
      <c r="G54" s="8"/>
      <c r="H54" s="8"/>
      <c r="I54" s="8"/>
      <c r="J54" s="8"/>
    </row>
    <row r="55" spans="1:10" x14ac:dyDescent="0.2">
      <c r="A55" s="8"/>
      <c r="B55" s="8"/>
      <c r="C55" s="8"/>
      <c r="D55" s="8"/>
      <c r="E55" s="8"/>
      <c r="F55" s="8"/>
      <c r="G55" s="8"/>
      <c r="H55" s="8"/>
      <c r="I55" s="8"/>
      <c r="J55" s="8"/>
    </row>
    <row r="56" spans="1:10" x14ac:dyDescent="0.2">
      <c r="B56" s="8"/>
      <c r="C56" s="8"/>
      <c r="D56" s="8"/>
      <c r="E56" s="8"/>
      <c r="F56" s="8"/>
      <c r="G56" s="8"/>
      <c r="H56" s="8"/>
      <c r="I56" s="8"/>
      <c r="J56" s="8"/>
    </row>
  </sheetData>
  <mergeCells count="5">
    <mergeCell ref="B4:I4"/>
    <mergeCell ref="B47:C47"/>
    <mergeCell ref="I47:I48"/>
    <mergeCell ref="B48:G48"/>
    <mergeCell ref="B50:I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Ampuero</dc:creator>
  <cp:lastModifiedBy>Usuario</cp:lastModifiedBy>
  <dcterms:created xsi:type="dcterms:W3CDTF">2026-09-05T06:38:35Z</dcterms:created>
  <dcterms:modified xsi:type="dcterms:W3CDTF">2026-09-05T07:11:01Z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2026-08-16T00:00:00Z</vt:filetime>
  </property>
  <property fmtid="{D5CDD505-2E9C-101B-9397-08002B2CF9AE}" pid="4" name="Creator">
    <vt:lpwstr>Microsoft® Word 2021</vt:lpwstr>
  </property>
  <property fmtid="{D5CDD505-2E9C-101B-9397-08002B2CF9AE}" pid="5" name="LastSaved">
    <vt:filetime>2026-09-05T00:00:00Z</vt:filetime>
  </property>
  <property fmtid="{D5CDD505-2E9C-101B-9397-08002B2CF9AE}" pid="6" name="Producer">
    <vt:lpwstr>Microsoft® Word 2021</vt:lpwstr>
  </property>
</Properties>
</file>